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 2\"/>
    </mc:Choice>
  </mc:AlternateContent>
  <xr:revisionPtr revIDLastSave="0" documentId="13_ncr:1_{7C50C02E-F941-416D-A55F-9965C0FDF004}" xr6:coauthVersionLast="47" xr6:coauthVersionMax="47" xr10:uidLastSave="{00000000-0000-0000-0000-000000000000}"/>
  <bookViews>
    <workbookView xWindow="0" yWindow="168" windowWidth="14244" windowHeight="10968" activeTab="2" xr2:uid="{79119412-D52E-4EF7-8BFE-D4568E77BC78}"/>
  </bookViews>
  <sheets>
    <sheet name="Sheet1" sheetId="1" r:id="rId1"/>
    <sheet name="Data cleaning" sheetId="2" r:id="rId2"/>
    <sheet name="Data cleaned" sheetId="3" r:id="rId3"/>
    <sheet name="VLOOK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2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3" i="4"/>
  <c r="B4" i="4"/>
  <c r="B5" i="4"/>
  <c r="B6" i="4"/>
  <c r="B7" i="4"/>
  <c r="B8" i="4"/>
  <c r="B9" i="4"/>
  <c r="B2" i="4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2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" i="2"/>
</calcChain>
</file>

<file path=xl/sharedStrings.xml><?xml version="1.0" encoding="utf-8"?>
<sst xmlns="http://schemas.openxmlformats.org/spreadsheetml/2006/main" count="617" uniqueCount="140">
  <si>
    <t>Student_ID</t>
  </si>
  <si>
    <t>Name</t>
  </si>
  <si>
    <t>Last Name</t>
  </si>
  <si>
    <t>Dept</t>
  </si>
  <si>
    <t>Mark</t>
  </si>
  <si>
    <t>Attendance (%)</t>
  </si>
  <si>
    <t>Gender_Age</t>
  </si>
  <si>
    <t>S1000</t>
  </si>
  <si>
    <t>Ravi</t>
  </si>
  <si>
    <t>Kumar</t>
  </si>
  <si>
    <t>Arts</t>
  </si>
  <si>
    <t>M22</t>
  </si>
  <si>
    <t>S1001</t>
  </si>
  <si>
    <t>Mohan</t>
  </si>
  <si>
    <t>Raj</t>
  </si>
  <si>
    <t>arts</t>
  </si>
  <si>
    <t>M34</t>
  </si>
  <si>
    <t>S1002</t>
  </si>
  <si>
    <t>deepthiKha</t>
  </si>
  <si>
    <t>Rani</t>
  </si>
  <si>
    <t>F21</t>
  </si>
  <si>
    <t>S1003</t>
  </si>
  <si>
    <t>Manohar</t>
  </si>
  <si>
    <t>Babu</t>
  </si>
  <si>
    <t>Commerce</t>
  </si>
  <si>
    <t>M25</t>
  </si>
  <si>
    <t>S1004</t>
  </si>
  <si>
    <t>Priyanka</t>
  </si>
  <si>
    <t>Devi</t>
  </si>
  <si>
    <t>Science</t>
  </si>
  <si>
    <t>F23</t>
  </si>
  <si>
    <t>S1005</t>
  </si>
  <si>
    <t>Vinoth</t>
  </si>
  <si>
    <t>Muthu</t>
  </si>
  <si>
    <t>M26</t>
  </si>
  <si>
    <t>S1006</t>
  </si>
  <si>
    <t>Shanthi</t>
  </si>
  <si>
    <t>Lakshmi</t>
  </si>
  <si>
    <t>F29</t>
  </si>
  <si>
    <t>S1007</t>
  </si>
  <si>
    <t>manimegalai</t>
  </si>
  <si>
    <t>Selvi</t>
  </si>
  <si>
    <t>F28</t>
  </si>
  <si>
    <t>S1008</t>
  </si>
  <si>
    <t>Karthi</t>
  </si>
  <si>
    <t>Velu</t>
  </si>
  <si>
    <t>S1009</t>
  </si>
  <si>
    <t>Mari</t>
  </si>
  <si>
    <t>Gopi</t>
  </si>
  <si>
    <t>M23</t>
  </si>
  <si>
    <t>S1010</t>
  </si>
  <si>
    <t>Mahesh</t>
  </si>
  <si>
    <t>Sekar</t>
  </si>
  <si>
    <t>M24</t>
  </si>
  <si>
    <t>S1011</t>
  </si>
  <si>
    <t>sangeetha</t>
  </si>
  <si>
    <t>Raji</t>
  </si>
  <si>
    <t>F22</t>
  </si>
  <si>
    <t>S1012</t>
  </si>
  <si>
    <t>Raghul</t>
  </si>
  <si>
    <t>Arul</t>
  </si>
  <si>
    <t>S1013</t>
  </si>
  <si>
    <t>Jothi</t>
  </si>
  <si>
    <t>Radha</t>
  </si>
  <si>
    <t>F26</t>
  </si>
  <si>
    <t>S1014</t>
  </si>
  <si>
    <t>Anisha</t>
  </si>
  <si>
    <t>Meena</t>
  </si>
  <si>
    <t>F27</t>
  </si>
  <si>
    <t>S1015</t>
  </si>
  <si>
    <t>Venkat</t>
  </si>
  <si>
    <t>Hari</t>
  </si>
  <si>
    <t>S1016</t>
  </si>
  <si>
    <t>Chandru</t>
  </si>
  <si>
    <t>Raja</t>
  </si>
  <si>
    <t>S1017</t>
  </si>
  <si>
    <t>Dinesh</t>
  </si>
  <si>
    <t>S1018</t>
  </si>
  <si>
    <t>Poorvika</t>
  </si>
  <si>
    <t>S1019</t>
  </si>
  <si>
    <t>Vimal</t>
  </si>
  <si>
    <t>Arasu</t>
  </si>
  <si>
    <t>S1020</t>
  </si>
  <si>
    <t>Parthiban</t>
  </si>
  <si>
    <t>Bala</t>
  </si>
  <si>
    <t>S1021</t>
  </si>
  <si>
    <t>Santhosh</t>
  </si>
  <si>
    <t>Gokul</t>
  </si>
  <si>
    <t>S1022</t>
  </si>
  <si>
    <t>Keerthika</t>
  </si>
  <si>
    <t>divya</t>
  </si>
  <si>
    <t>F24</t>
  </si>
  <si>
    <t>S1023</t>
  </si>
  <si>
    <t>Reeta</t>
  </si>
  <si>
    <t>Yamuna</t>
  </si>
  <si>
    <t>S1024</t>
  </si>
  <si>
    <t>Lalitha</t>
  </si>
  <si>
    <t>Nila</t>
  </si>
  <si>
    <t>F25</t>
  </si>
  <si>
    <t>S1025</t>
  </si>
  <si>
    <t>Sridhar</t>
  </si>
  <si>
    <t>Ramu</t>
  </si>
  <si>
    <t>M27</t>
  </si>
  <si>
    <t>S1026</t>
  </si>
  <si>
    <t>Kavitha</t>
  </si>
  <si>
    <t>Banu</t>
  </si>
  <si>
    <t>S1027</t>
  </si>
  <si>
    <t>Murugesan</t>
  </si>
  <si>
    <t>Kani</t>
  </si>
  <si>
    <t>S1028</t>
  </si>
  <si>
    <t>Gandhi</t>
  </si>
  <si>
    <t>Selvam</t>
  </si>
  <si>
    <t>M28</t>
  </si>
  <si>
    <t>S1029</t>
  </si>
  <si>
    <t>S1030</t>
  </si>
  <si>
    <t>Varshini</t>
  </si>
  <si>
    <t>S1031</t>
  </si>
  <si>
    <t>Indhumathi</t>
  </si>
  <si>
    <t>Nithya</t>
  </si>
  <si>
    <t>S1032</t>
  </si>
  <si>
    <t>Janani</t>
  </si>
  <si>
    <t>Uma</t>
  </si>
  <si>
    <t>S1033</t>
  </si>
  <si>
    <t>Bharath</t>
  </si>
  <si>
    <t>Guru</t>
  </si>
  <si>
    <t>S1034</t>
  </si>
  <si>
    <t>Akash</t>
  </si>
  <si>
    <t>Vignesh</t>
  </si>
  <si>
    <t>S1035</t>
  </si>
  <si>
    <t>kani</t>
  </si>
  <si>
    <t>S1036</t>
  </si>
  <si>
    <t>Nirmal</t>
  </si>
  <si>
    <t>Prakash</t>
  </si>
  <si>
    <t>Mark Avg</t>
  </si>
  <si>
    <t>Attendance impute</t>
  </si>
  <si>
    <t>Gender</t>
  </si>
  <si>
    <t>Age</t>
  </si>
  <si>
    <t>M</t>
  </si>
  <si>
    <t>F</t>
  </si>
  <si>
    <t xml:space="preserve">Attendance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</si>
</sst>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2" fillId="3" borderId="1" xfId="0" applyFont="1" applyFill="1" applyBorder="1"/>
    <xf numFmtId="0" fontId="0" fillId="4" borderId="1" xfId="0" applyFill="1" applyBorder="1"/>
    <xf numFmtId="0" fontId="0" fillId="0" borderId="1" xfId="0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6" xfId="0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4" borderId="2" xfId="0" applyFill="1" applyBorder="1"/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0338-A101-4E9F-B7A1-3DE835B63E47}">
  <dimension ref="A1:G40"/>
  <sheetViews>
    <sheetView workbookViewId="0">
      <selection sqref="A1:G4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76</v>
      </c>
      <c r="F2">
        <v>82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>
        <v>71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 t="s">
        <v>10</v>
      </c>
      <c r="E4">
        <v>39</v>
      </c>
      <c r="F4">
        <v>65</v>
      </c>
      <c r="G4" t="s">
        <v>20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>
        <v>72</v>
      </c>
      <c r="F5">
        <v>93</v>
      </c>
      <c r="G5" t="s">
        <v>25</v>
      </c>
    </row>
    <row r="6" spans="1:7" x14ac:dyDescent="0.3">
      <c r="A6" t="s">
        <v>26</v>
      </c>
      <c r="B6" t="s">
        <v>27</v>
      </c>
      <c r="C6" t="s">
        <v>28</v>
      </c>
      <c r="D6" t="s">
        <v>29</v>
      </c>
      <c r="E6">
        <v>60</v>
      </c>
      <c r="F6">
        <v>73</v>
      </c>
      <c r="G6" t="s">
        <v>30</v>
      </c>
    </row>
    <row r="7" spans="1:7" x14ac:dyDescent="0.3">
      <c r="A7" t="s">
        <v>31</v>
      </c>
      <c r="B7" t="s">
        <v>32</v>
      </c>
      <c r="C7" t="s">
        <v>33</v>
      </c>
      <c r="D7" t="s">
        <v>24</v>
      </c>
      <c r="E7">
        <v>84</v>
      </c>
      <c r="F7">
        <v>62</v>
      </c>
      <c r="G7" t="s">
        <v>34</v>
      </c>
    </row>
    <row r="8" spans="1:7" x14ac:dyDescent="0.3">
      <c r="A8" t="s">
        <v>35</v>
      </c>
      <c r="B8" t="s">
        <v>36</v>
      </c>
      <c r="C8" t="s">
        <v>37</v>
      </c>
      <c r="D8" t="s">
        <v>10</v>
      </c>
      <c r="E8">
        <v>60</v>
      </c>
      <c r="F8">
        <v>86</v>
      </c>
      <c r="G8" t="s">
        <v>38</v>
      </c>
    </row>
    <row r="9" spans="1:7" x14ac:dyDescent="0.3">
      <c r="A9" t="s">
        <v>39</v>
      </c>
      <c r="B9" t="s">
        <v>40</v>
      </c>
      <c r="C9" t="s">
        <v>41</v>
      </c>
      <c r="D9" t="s">
        <v>24</v>
      </c>
      <c r="E9">
        <v>98</v>
      </c>
      <c r="F9">
        <v>96</v>
      </c>
      <c r="G9" t="s">
        <v>42</v>
      </c>
    </row>
    <row r="10" spans="1:7" x14ac:dyDescent="0.3">
      <c r="A10" t="s">
        <v>43</v>
      </c>
      <c r="B10" t="s">
        <v>44</v>
      </c>
      <c r="C10" t="s">
        <v>45</v>
      </c>
      <c r="D10" t="s">
        <v>24</v>
      </c>
      <c r="E10">
        <v>44</v>
      </c>
      <c r="F10">
        <v>95</v>
      </c>
      <c r="G10" t="s">
        <v>11</v>
      </c>
    </row>
    <row r="11" spans="1:7" x14ac:dyDescent="0.3">
      <c r="A11" t="s">
        <v>46</v>
      </c>
      <c r="B11" t="s">
        <v>47</v>
      </c>
      <c r="C11" t="s">
        <v>48</v>
      </c>
      <c r="D11" t="s">
        <v>29</v>
      </c>
      <c r="E11">
        <v>94</v>
      </c>
      <c r="F11">
        <v>66</v>
      </c>
      <c r="G11" t="s">
        <v>49</v>
      </c>
    </row>
    <row r="12" spans="1:7" x14ac:dyDescent="0.3">
      <c r="A12" t="s">
        <v>50</v>
      </c>
      <c r="B12" t="s">
        <v>51</v>
      </c>
      <c r="C12" t="s">
        <v>52</v>
      </c>
      <c r="D12" t="s">
        <v>15</v>
      </c>
      <c r="F12">
        <v>65</v>
      </c>
      <c r="G12" t="s">
        <v>53</v>
      </c>
    </row>
    <row r="13" spans="1:7" x14ac:dyDescent="0.3">
      <c r="A13" t="s">
        <v>54</v>
      </c>
      <c r="B13" t="s">
        <v>55</v>
      </c>
      <c r="C13" t="s">
        <v>56</v>
      </c>
      <c r="D13" t="s">
        <v>29</v>
      </c>
      <c r="E13">
        <v>51</v>
      </c>
      <c r="F13">
        <v>61</v>
      </c>
      <c r="G13" t="s">
        <v>57</v>
      </c>
    </row>
    <row r="14" spans="1:7" x14ac:dyDescent="0.3">
      <c r="A14" t="s">
        <v>58</v>
      </c>
      <c r="B14" t="s">
        <v>59</v>
      </c>
      <c r="C14" t="s">
        <v>60</v>
      </c>
      <c r="D14" t="s">
        <v>10</v>
      </c>
      <c r="E14">
        <v>73</v>
      </c>
      <c r="F14">
        <v>91</v>
      </c>
      <c r="G14" t="s">
        <v>25</v>
      </c>
    </row>
    <row r="15" spans="1:7" x14ac:dyDescent="0.3">
      <c r="A15" t="s">
        <v>61</v>
      </c>
      <c r="B15" t="s">
        <v>62</v>
      </c>
      <c r="C15" t="s">
        <v>63</v>
      </c>
      <c r="D15" t="s">
        <v>24</v>
      </c>
      <c r="E15">
        <v>60</v>
      </c>
      <c r="G15" t="s">
        <v>64</v>
      </c>
    </row>
    <row r="16" spans="1:7" x14ac:dyDescent="0.3">
      <c r="A16" t="s">
        <v>65</v>
      </c>
      <c r="B16" t="s">
        <v>66</v>
      </c>
      <c r="C16" t="s">
        <v>67</v>
      </c>
      <c r="D16" t="s">
        <v>24</v>
      </c>
      <c r="E16">
        <v>41</v>
      </c>
      <c r="F16">
        <v>88</v>
      </c>
      <c r="G16" t="s">
        <v>68</v>
      </c>
    </row>
    <row r="17" spans="1:7" x14ac:dyDescent="0.3">
      <c r="A17" t="s">
        <v>69</v>
      </c>
      <c r="B17" t="s">
        <v>70</v>
      </c>
      <c r="C17" t="s">
        <v>71</v>
      </c>
      <c r="D17" t="s">
        <v>24</v>
      </c>
      <c r="E17">
        <v>35</v>
      </c>
      <c r="F17">
        <v>90</v>
      </c>
      <c r="G17" t="s">
        <v>11</v>
      </c>
    </row>
    <row r="18" spans="1:7" x14ac:dyDescent="0.3">
      <c r="A18" t="s">
        <v>72</v>
      </c>
      <c r="B18" t="s">
        <v>73</v>
      </c>
      <c r="C18" t="s">
        <v>74</v>
      </c>
      <c r="D18" t="s">
        <v>29</v>
      </c>
      <c r="E18">
        <v>55</v>
      </c>
      <c r="F18">
        <v>96</v>
      </c>
      <c r="G18" t="s">
        <v>53</v>
      </c>
    </row>
    <row r="19" spans="1:7" x14ac:dyDescent="0.3">
      <c r="A19" t="s">
        <v>75</v>
      </c>
      <c r="B19" t="s">
        <v>76</v>
      </c>
      <c r="C19" t="s">
        <v>9</v>
      </c>
      <c r="D19" t="s">
        <v>10</v>
      </c>
      <c r="E19">
        <v>74</v>
      </c>
      <c r="F19">
        <v>71</v>
      </c>
      <c r="G19" t="s">
        <v>49</v>
      </c>
    </row>
    <row r="20" spans="1:7" x14ac:dyDescent="0.3">
      <c r="A20" t="s">
        <v>77</v>
      </c>
      <c r="B20" t="s">
        <v>78</v>
      </c>
      <c r="C20" t="s">
        <v>28</v>
      </c>
      <c r="D20" t="s">
        <v>29</v>
      </c>
      <c r="F20">
        <v>62</v>
      </c>
      <c r="G20" t="s">
        <v>20</v>
      </c>
    </row>
    <row r="21" spans="1:7" x14ac:dyDescent="0.3">
      <c r="A21" t="s">
        <v>79</v>
      </c>
      <c r="B21" t="s">
        <v>80</v>
      </c>
      <c r="C21" t="s">
        <v>81</v>
      </c>
      <c r="D21" t="s">
        <v>24</v>
      </c>
      <c r="E21">
        <v>53</v>
      </c>
      <c r="F21">
        <v>100</v>
      </c>
      <c r="G21" t="s">
        <v>25</v>
      </c>
    </row>
    <row r="22" spans="1:7" x14ac:dyDescent="0.3">
      <c r="A22" t="s">
        <v>72</v>
      </c>
      <c r="B22" t="s">
        <v>73</v>
      </c>
      <c r="C22" t="s">
        <v>74</v>
      </c>
      <c r="D22" t="s">
        <v>29</v>
      </c>
      <c r="E22">
        <v>55</v>
      </c>
      <c r="F22">
        <v>96</v>
      </c>
      <c r="G22" t="s">
        <v>53</v>
      </c>
    </row>
    <row r="23" spans="1:7" x14ac:dyDescent="0.3">
      <c r="A23" t="s">
        <v>82</v>
      </c>
      <c r="B23" t="s">
        <v>83</v>
      </c>
      <c r="C23" t="s">
        <v>84</v>
      </c>
      <c r="D23" t="s">
        <v>29</v>
      </c>
      <c r="E23">
        <v>80</v>
      </c>
      <c r="F23">
        <v>67</v>
      </c>
      <c r="G23" t="s">
        <v>34</v>
      </c>
    </row>
    <row r="24" spans="1:7" x14ac:dyDescent="0.3">
      <c r="A24" t="s">
        <v>85</v>
      </c>
      <c r="B24" t="s">
        <v>86</v>
      </c>
      <c r="C24" t="s">
        <v>87</v>
      </c>
      <c r="D24" t="s">
        <v>10</v>
      </c>
      <c r="E24">
        <v>62</v>
      </c>
      <c r="F24">
        <v>83</v>
      </c>
      <c r="G24" t="s">
        <v>49</v>
      </c>
    </row>
    <row r="25" spans="1:7" x14ac:dyDescent="0.3">
      <c r="A25" t="s">
        <v>88</v>
      </c>
      <c r="B25" t="s">
        <v>89</v>
      </c>
      <c r="C25" t="s">
        <v>90</v>
      </c>
      <c r="D25" t="s">
        <v>10</v>
      </c>
      <c r="E25">
        <v>98</v>
      </c>
      <c r="F25">
        <v>92</v>
      </c>
      <c r="G25" t="s">
        <v>91</v>
      </c>
    </row>
    <row r="26" spans="1:7" x14ac:dyDescent="0.3">
      <c r="A26" t="s">
        <v>92</v>
      </c>
      <c r="B26" t="s">
        <v>93</v>
      </c>
      <c r="C26" t="s">
        <v>94</v>
      </c>
      <c r="D26" t="s">
        <v>10</v>
      </c>
      <c r="E26">
        <v>41</v>
      </c>
      <c r="F26">
        <v>62</v>
      </c>
      <c r="G26" t="s">
        <v>42</v>
      </c>
    </row>
    <row r="27" spans="1:7" x14ac:dyDescent="0.3">
      <c r="A27" t="s">
        <v>95</v>
      </c>
      <c r="B27" t="s">
        <v>96</v>
      </c>
      <c r="C27" t="s">
        <v>97</v>
      </c>
      <c r="D27" t="s">
        <v>29</v>
      </c>
      <c r="E27">
        <v>37</v>
      </c>
      <c r="F27">
        <v>73</v>
      </c>
      <c r="G27" t="s">
        <v>98</v>
      </c>
    </row>
    <row r="28" spans="1:7" x14ac:dyDescent="0.3">
      <c r="A28" t="s">
        <v>99</v>
      </c>
      <c r="B28" t="s">
        <v>100</v>
      </c>
      <c r="C28" t="s">
        <v>101</v>
      </c>
      <c r="D28" t="s">
        <v>24</v>
      </c>
      <c r="E28">
        <v>76</v>
      </c>
      <c r="F28">
        <v>80</v>
      </c>
      <c r="G28" t="s">
        <v>102</v>
      </c>
    </row>
    <row r="29" spans="1:7" x14ac:dyDescent="0.3">
      <c r="A29" t="s">
        <v>72</v>
      </c>
      <c r="B29" t="s">
        <v>73</v>
      </c>
      <c r="C29" t="s">
        <v>74</v>
      </c>
      <c r="D29" t="s">
        <v>29</v>
      </c>
      <c r="E29">
        <v>55</v>
      </c>
      <c r="F29">
        <v>96</v>
      </c>
      <c r="G29" t="s">
        <v>53</v>
      </c>
    </row>
    <row r="30" spans="1:7" x14ac:dyDescent="0.3">
      <c r="A30" t="s">
        <v>103</v>
      </c>
      <c r="B30" t="s">
        <v>104</v>
      </c>
      <c r="C30" t="s">
        <v>105</v>
      </c>
      <c r="D30" t="s">
        <v>24</v>
      </c>
      <c r="E30">
        <v>71</v>
      </c>
      <c r="F30">
        <v>84</v>
      </c>
      <c r="G30" t="s">
        <v>64</v>
      </c>
    </row>
    <row r="31" spans="1:7" x14ac:dyDescent="0.3">
      <c r="A31" t="s">
        <v>106</v>
      </c>
      <c r="B31" t="s">
        <v>107</v>
      </c>
      <c r="C31" t="s">
        <v>108</v>
      </c>
      <c r="D31" t="s">
        <v>24</v>
      </c>
      <c r="F31">
        <v>65</v>
      </c>
      <c r="G31" t="s">
        <v>49</v>
      </c>
    </row>
    <row r="32" spans="1:7" x14ac:dyDescent="0.3">
      <c r="A32" t="s">
        <v>109</v>
      </c>
      <c r="B32" t="s">
        <v>110</v>
      </c>
      <c r="C32" t="s">
        <v>111</v>
      </c>
      <c r="D32" t="s">
        <v>10</v>
      </c>
      <c r="E32">
        <v>54</v>
      </c>
      <c r="F32">
        <v>99</v>
      </c>
      <c r="G32" t="s">
        <v>112</v>
      </c>
    </row>
    <row r="33" spans="1:7" x14ac:dyDescent="0.3">
      <c r="A33" t="s">
        <v>113</v>
      </c>
      <c r="B33" t="s">
        <v>100</v>
      </c>
      <c r="C33" t="s">
        <v>101</v>
      </c>
      <c r="D33" t="s">
        <v>24</v>
      </c>
      <c r="E33">
        <v>76</v>
      </c>
      <c r="F33">
        <v>80</v>
      </c>
      <c r="G33" t="s">
        <v>102</v>
      </c>
    </row>
    <row r="34" spans="1:7" x14ac:dyDescent="0.3">
      <c r="A34" t="s">
        <v>114</v>
      </c>
      <c r="B34" t="s">
        <v>115</v>
      </c>
      <c r="C34" t="s">
        <v>28</v>
      </c>
      <c r="D34" t="s">
        <v>29</v>
      </c>
      <c r="E34">
        <v>90</v>
      </c>
      <c r="F34">
        <v>66</v>
      </c>
      <c r="G34" t="s">
        <v>57</v>
      </c>
    </row>
    <row r="35" spans="1:7" x14ac:dyDescent="0.3">
      <c r="A35" t="s">
        <v>116</v>
      </c>
      <c r="B35" t="s">
        <v>117</v>
      </c>
      <c r="C35" t="s">
        <v>118</v>
      </c>
      <c r="D35" t="s">
        <v>10</v>
      </c>
      <c r="E35">
        <v>80</v>
      </c>
      <c r="F35">
        <v>91</v>
      </c>
      <c r="G35" t="s">
        <v>38</v>
      </c>
    </row>
    <row r="36" spans="1:7" x14ac:dyDescent="0.3">
      <c r="A36" t="s">
        <v>119</v>
      </c>
      <c r="B36" t="s">
        <v>120</v>
      </c>
      <c r="C36" t="s">
        <v>121</v>
      </c>
      <c r="D36" t="s">
        <v>29</v>
      </c>
      <c r="E36">
        <v>57</v>
      </c>
      <c r="F36">
        <v>72</v>
      </c>
      <c r="G36" t="s">
        <v>30</v>
      </c>
    </row>
    <row r="37" spans="1:7" x14ac:dyDescent="0.3">
      <c r="A37" t="s">
        <v>122</v>
      </c>
      <c r="B37" t="s">
        <v>123</v>
      </c>
      <c r="C37" t="s">
        <v>124</v>
      </c>
      <c r="D37" t="s">
        <v>29</v>
      </c>
      <c r="E37">
        <v>92</v>
      </c>
      <c r="F37">
        <v>87</v>
      </c>
      <c r="G37" t="s">
        <v>25</v>
      </c>
    </row>
    <row r="38" spans="1:7" x14ac:dyDescent="0.3">
      <c r="A38" t="s">
        <v>125</v>
      </c>
      <c r="B38" t="s">
        <v>126</v>
      </c>
      <c r="C38" t="s">
        <v>127</v>
      </c>
      <c r="D38" t="s">
        <v>10</v>
      </c>
      <c r="E38">
        <v>52</v>
      </c>
      <c r="F38">
        <v>84</v>
      </c>
      <c r="G38" t="s">
        <v>11</v>
      </c>
    </row>
    <row r="39" spans="1:7" x14ac:dyDescent="0.3">
      <c r="A39" t="s">
        <v>128</v>
      </c>
      <c r="B39" t="s">
        <v>107</v>
      </c>
      <c r="C39" t="s">
        <v>129</v>
      </c>
      <c r="D39" t="s">
        <v>24</v>
      </c>
      <c r="E39">
        <v>53</v>
      </c>
      <c r="F39">
        <v>65</v>
      </c>
      <c r="G39" t="s">
        <v>49</v>
      </c>
    </row>
    <row r="40" spans="1:7" x14ac:dyDescent="0.3">
      <c r="A40" t="s">
        <v>130</v>
      </c>
      <c r="B40" t="s">
        <v>131</v>
      </c>
      <c r="C40" t="s">
        <v>132</v>
      </c>
      <c r="D40" t="s">
        <v>24</v>
      </c>
      <c r="E40">
        <v>97</v>
      </c>
      <c r="F40">
        <v>88</v>
      </c>
      <c r="G4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8AF8-6BE3-430B-A6C4-6F5E0CE9092D}">
  <dimension ref="A1:M40"/>
  <sheetViews>
    <sheetView workbookViewId="0">
      <selection sqref="A1:G1"/>
    </sheetView>
  </sheetViews>
  <sheetFormatPr defaultRowHeight="14.4" x14ac:dyDescent="0.3"/>
  <cols>
    <col min="1" max="1" width="10.5546875" customWidth="1"/>
    <col min="3" max="3" width="10.88671875" customWidth="1"/>
    <col min="4" max="4" width="11" customWidth="1"/>
    <col min="7" max="8" width="12.109375" customWidth="1"/>
    <col min="10" max="10" width="15.88671875" customWidth="1"/>
    <col min="12" max="12" width="10.44140625" customWidth="1"/>
    <col min="14" max="14" width="10.88671875" customWidth="1"/>
    <col min="17" max="17" width="13.5546875" customWidth="1"/>
    <col min="18" max="18" width="11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133</v>
      </c>
      <c r="J1" s="1" t="s">
        <v>134</v>
      </c>
      <c r="K1" s="1" t="s">
        <v>135</v>
      </c>
      <c r="L1" s="1" t="s">
        <v>136</v>
      </c>
      <c r="M1" s="1"/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>
        <v>76</v>
      </c>
      <c r="F2">
        <v>82</v>
      </c>
      <c r="G2" t="s">
        <v>11</v>
      </c>
      <c r="I2">
        <f>IF(ISBLANK(E2),AVERAGE($E$2:$E$40),E2)</f>
        <v>76</v>
      </c>
      <c r="J2">
        <f>IF(ISBLANK(F2),AVERAGE($F$2:$F$40),F2)</f>
        <v>82</v>
      </c>
      <c r="K2" t="str">
        <f>LEFT(G2,1)</f>
        <v>M</v>
      </c>
      <c r="L2" t="str">
        <f>RIGHT(G2,2)</f>
        <v>22</v>
      </c>
    </row>
    <row r="3" spans="1:13" x14ac:dyDescent="0.3">
      <c r="A3" t="s">
        <v>12</v>
      </c>
      <c r="B3" t="s">
        <v>13</v>
      </c>
      <c r="C3" t="s">
        <v>14</v>
      </c>
      <c r="D3" t="s">
        <v>15</v>
      </c>
      <c r="E3">
        <v>71</v>
      </c>
      <c r="G3" t="s">
        <v>16</v>
      </c>
      <c r="I3">
        <f t="shared" ref="I3:I40" si="0">IF(ISBLANK(E3),AVERAGE($E$2:$E$40),E3)</f>
        <v>71</v>
      </c>
      <c r="J3" s="2">
        <f t="shared" ref="J3:J40" si="1">IF(ISBLANK(F3),AVERAGE($F$2:$F$40),F3)</f>
        <v>80.324324324324323</v>
      </c>
      <c r="K3" t="str">
        <f t="shared" ref="K3:K40" si="2">LEFT(G3,1)</f>
        <v>M</v>
      </c>
      <c r="L3" t="str">
        <f t="shared" ref="L3:L40" si="3">RIGHT(G3,2)</f>
        <v>34</v>
      </c>
    </row>
    <row r="4" spans="1:13" x14ac:dyDescent="0.3">
      <c r="A4" t="s">
        <v>17</v>
      </c>
      <c r="B4" t="s">
        <v>18</v>
      </c>
      <c r="C4" t="s">
        <v>19</v>
      </c>
      <c r="D4" t="s">
        <v>10</v>
      </c>
      <c r="E4">
        <v>39</v>
      </c>
      <c r="F4">
        <v>65</v>
      </c>
      <c r="G4" t="s">
        <v>20</v>
      </c>
      <c r="I4">
        <f t="shared" si="0"/>
        <v>39</v>
      </c>
      <c r="J4">
        <f t="shared" si="1"/>
        <v>65</v>
      </c>
      <c r="K4" t="str">
        <f t="shared" si="2"/>
        <v>F</v>
      </c>
      <c r="L4" t="str">
        <f t="shared" si="3"/>
        <v>21</v>
      </c>
    </row>
    <row r="5" spans="1:13" x14ac:dyDescent="0.3">
      <c r="A5" t="s">
        <v>21</v>
      </c>
      <c r="B5" t="s">
        <v>22</v>
      </c>
      <c r="C5" t="s">
        <v>23</v>
      </c>
      <c r="D5" t="s">
        <v>24</v>
      </c>
      <c r="E5">
        <v>72</v>
      </c>
      <c r="F5">
        <v>93</v>
      </c>
      <c r="G5" t="s">
        <v>25</v>
      </c>
      <c r="I5">
        <f t="shared" si="0"/>
        <v>72</v>
      </c>
      <c r="J5">
        <f t="shared" si="1"/>
        <v>93</v>
      </c>
      <c r="K5" t="str">
        <f t="shared" si="2"/>
        <v>M</v>
      </c>
      <c r="L5" t="str">
        <f t="shared" si="3"/>
        <v>25</v>
      </c>
    </row>
    <row r="6" spans="1:13" x14ac:dyDescent="0.3">
      <c r="A6" t="s">
        <v>26</v>
      </c>
      <c r="B6" t="s">
        <v>27</v>
      </c>
      <c r="C6" t="s">
        <v>28</v>
      </c>
      <c r="D6" t="s">
        <v>29</v>
      </c>
      <c r="E6">
        <v>60</v>
      </c>
      <c r="F6">
        <v>73</v>
      </c>
      <c r="G6" t="s">
        <v>30</v>
      </c>
      <c r="I6">
        <f t="shared" si="0"/>
        <v>60</v>
      </c>
      <c r="J6">
        <f t="shared" si="1"/>
        <v>73</v>
      </c>
      <c r="K6" t="str">
        <f t="shared" si="2"/>
        <v>F</v>
      </c>
      <c r="L6" t="str">
        <f t="shared" si="3"/>
        <v>23</v>
      </c>
    </row>
    <row r="7" spans="1:13" x14ac:dyDescent="0.3">
      <c r="A7" t="s">
        <v>31</v>
      </c>
      <c r="B7" t="s">
        <v>32</v>
      </c>
      <c r="C7" t="s">
        <v>33</v>
      </c>
      <c r="D7" t="s">
        <v>24</v>
      </c>
      <c r="E7">
        <v>84</v>
      </c>
      <c r="F7">
        <v>62</v>
      </c>
      <c r="G7" t="s">
        <v>34</v>
      </c>
      <c r="I7">
        <f t="shared" si="0"/>
        <v>84</v>
      </c>
      <c r="J7">
        <f t="shared" si="1"/>
        <v>62</v>
      </c>
      <c r="K7" t="str">
        <f t="shared" si="2"/>
        <v>M</v>
      </c>
      <c r="L7" t="str">
        <f t="shared" si="3"/>
        <v>26</v>
      </c>
    </row>
    <row r="8" spans="1:13" x14ac:dyDescent="0.3">
      <c r="A8" t="s">
        <v>35</v>
      </c>
      <c r="B8" t="s">
        <v>36</v>
      </c>
      <c r="C8" t="s">
        <v>37</v>
      </c>
      <c r="D8" t="s">
        <v>10</v>
      </c>
      <c r="E8">
        <v>60</v>
      </c>
      <c r="F8">
        <v>86</v>
      </c>
      <c r="G8" t="s">
        <v>38</v>
      </c>
      <c r="I8">
        <f t="shared" si="0"/>
        <v>60</v>
      </c>
      <c r="J8">
        <f t="shared" si="1"/>
        <v>86</v>
      </c>
      <c r="K8" t="str">
        <f t="shared" si="2"/>
        <v>F</v>
      </c>
      <c r="L8" t="str">
        <f t="shared" si="3"/>
        <v>29</v>
      </c>
    </row>
    <row r="9" spans="1:13" x14ac:dyDescent="0.3">
      <c r="A9" t="s">
        <v>39</v>
      </c>
      <c r="B9" t="s">
        <v>40</v>
      </c>
      <c r="C9" t="s">
        <v>41</v>
      </c>
      <c r="D9" t="s">
        <v>24</v>
      </c>
      <c r="E9">
        <v>98</v>
      </c>
      <c r="F9">
        <v>96</v>
      </c>
      <c r="G9" t="s">
        <v>42</v>
      </c>
      <c r="I9">
        <f t="shared" si="0"/>
        <v>98</v>
      </c>
      <c r="J9">
        <f t="shared" si="1"/>
        <v>96</v>
      </c>
      <c r="K9" t="str">
        <f t="shared" si="2"/>
        <v>F</v>
      </c>
      <c r="L9" t="str">
        <f t="shared" si="3"/>
        <v>28</v>
      </c>
    </row>
    <row r="10" spans="1:13" x14ac:dyDescent="0.3">
      <c r="A10" t="s">
        <v>43</v>
      </c>
      <c r="B10" t="s">
        <v>44</v>
      </c>
      <c r="C10" t="s">
        <v>45</v>
      </c>
      <c r="D10" t="s">
        <v>24</v>
      </c>
      <c r="E10">
        <v>44</v>
      </c>
      <c r="F10">
        <v>95</v>
      </c>
      <c r="G10" t="s">
        <v>11</v>
      </c>
      <c r="I10">
        <f t="shared" si="0"/>
        <v>44</v>
      </c>
      <c r="J10">
        <f t="shared" si="1"/>
        <v>95</v>
      </c>
      <c r="K10" t="str">
        <f t="shared" si="2"/>
        <v>M</v>
      </c>
      <c r="L10" t="str">
        <f t="shared" si="3"/>
        <v>22</v>
      </c>
    </row>
    <row r="11" spans="1:13" x14ac:dyDescent="0.3">
      <c r="A11" t="s">
        <v>46</v>
      </c>
      <c r="B11" t="s">
        <v>47</v>
      </c>
      <c r="C11" t="s">
        <v>48</v>
      </c>
      <c r="D11" t="s">
        <v>29</v>
      </c>
      <c r="E11">
        <v>94</v>
      </c>
      <c r="F11">
        <v>66</v>
      </c>
      <c r="G11" t="s">
        <v>49</v>
      </c>
      <c r="I11">
        <f t="shared" si="0"/>
        <v>94</v>
      </c>
      <c r="J11">
        <f t="shared" si="1"/>
        <v>66</v>
      </c>
      <c r="K11" t="str">
        <f t="shared" si="2"/>
        <v>M</v>
      </c>
      <c r="L11" t="str">
        <f t="shared" si="3"/>
        <v>23</v>
      </c>
    </row>
    <row r="12" spans="1:13" x14ac:dyDescent="0.3">
      <c r="A12" t="s">
        <v>50</v>
      </c>
      <c r="B12" t="s">
        <v>51</v>
      </c>
      <c r="C12" t="s">
        <v>52</v>
      </c>
      <c r="D12" t="s">
        <v>15</v>
      </c>
      <c r="F12">
        <v>65</v>
      </c>
      <c r="G12" t="s">
        <v>53</v>
      </c>
      <c r="I12" s="2">
        <f t="shared" si="0"/>
        <v>65.722222222222229</v>
      </c>
      <c r="J12">
        <f t="shared" si="1"/>
        <v>65</v>
      </c>
      <c r="K12" t="str">
        <f t="shared" si="2"/>
        <v>M</v>
      </c>
      <c r="L12" t="str">
        <f t="shared" si="3"/>
        <v>24</v>
      </c>
    </row>
    <row r="13" spans="1:13" x14ac:dyDescent="0.3">
      <c r="A13" t="s">
        <v>54</v>
      </c>
      <c r="B13" t="s">
        <v>55</v>
      </c>
      <c r="C13" t="s">
        <v>56</v>
      </c>
      <c r="D13" t="s">
        <v>29</v>
      </c>
      <c r="E13">
        <v>51</v>
      </c>
      <c r="F13">
        <v>61</v>
      </c>
      <c r="G13" t="s">
        <v>57</v>
      </c>
      <c r="I13">
        <f t="shared" si="0"/>
        <v>51</v>
      </c>
      <c r="J13">
        <f t="shared" si="1"/>
        <v>61</v>
      </c>
      <c r="K13" t="str">
        <f t="shared" si="2"/>
        <v>F</v>
      </c>
      <c r="L13" t="str">
        <f t="shared" si="3"/>
        <v>22</v>
      </c>
    </row>
    <row r="14" spans="1:13" x14ac:dyDescent="0.3">
      <c r="A14" t="s">
        <v>58</v>
      </c>
      <c r="B14" t="s">
        <v>59</v>
      </c>
      <c r="C14" t="s">
        <v>60</v>
      </c>
      <c r="D14" t="s">
        <v>10</v>
      </c>
      <c r="E14">
        <v>73</v>
      </c>
      <c r="F14">
        <v>91</v>
      </c>
      <c r="G14" t="s">
        <v>25</v>
      </c>
      <c r="I14">
        <f t="shared" si="0"/>
        <v>73</v>
      </c>
      <c r="J14">
        <f t="shared" si="1"/>
        <v>91</v>
      </c>
      <c r="K14" t="str">
        <f t="shared" si="2"/>
        <v>M</v>
      </c>
      <c r="L14" t="str">
        <f t="shared" si="3"/>
        <v>25</v>
      </c>
    </row>
    <row r="15" spans="1:13" x14ac:dyDescent="0.3">
      <c r="A15" t="s">
        <v>61</v>
      </c>
      <c r="B15" t="s">
        <v>62</v>
      </c>
      <c r="C15" t="s">
        <v>63</v>
      </c>
      <c r="D15" t="s">
        <v>24</v>
      </c>
      <c r="E15">
        <v>60</v>
      </c>
      <c r="G15" t="s">
        <v>64</v>
      </c>
      <c r="I15">
        <f t="shared" si="0"/>
        <v>60</v>
      </c>
      <c r="J15" s="2">
        <f t="shared" si="1"/>
        <v>80.324324324324323</v>
      </c>
      <c r="K15" t="str">
        <f t="shared" si="2"/>
        <v>F</v>
      </c>
      <c r="L15" t="str">
        <f t="shared" si="3"/>
        <v>26</v>
      </c>
    </row>
    <row r="16" spans="1:13" x14ac:dyDescent="0.3">
      <c r="A16" t="s">
        <v>65</v>
      </c>
      <c r="B16" t="s">
        <v>66</v>
      </c>
      <c r="C16" t="s">
        <v>67</v>
      </c>
      <c r="D16" t="s">
        <v>24</v>
      </c>
      <c r="E16">
        <v>41</v>
      </c>
      <c r="F16">
        <v>88</v>
      </c>
      <c r="G16" t="s">
        <v>68</v>
      </c>
      <c r="I16">
        <f t="shared" si="0"/>
        <v>41</v>
      </c>
      <c r="J16">
        <f t="shared" si="1"/>
        <v>88</v>
      </c>
      <c r="K16" t="str">
        <f t="shared" si="2"/>
        <v>F</v>
      </c>
      <c r="L16" t="str">
        <f t="shared" si="3"/>
        <v>27</v>
      </c>
    </row>
    <row r="17" spans="1:12" x14ac:dyDescent="0.3">
      <c r="A17" t="s">
        <v>69</v>
      </c>
      <c r="B17" t="s">
        <v>70</v>
      </c>
      <c r="C17" t="s">
        <v>71</v>
      </c>
      <c r="D17" t="s">
        <v>24</v>
      </c>
      <c r="E17">
        <v>35</v>
      </c>
      <c r="F17">
        <v>90</v>
      </c>
      <c r="G17" t="s">
        <v>11</v>
      </c>
      <c r="I17">
        <f t="shared" si="0"/>
        <v>35</v>
      </c>
      <c r="J17">
        <f t="shared" si="1"/>
        <v>90</v>
      </c>
      <c r="K17" t="str">
        <f t="shared" si="2"/>
        <v>M</v>
      </c>
      <c r="L17" t="str">
        <f t="shared" si="3"/>
        <v>22</v>
      </c>
    </row>
    <row r="18" spans="1:12" x14ac:dyDescent="0.3">
      <c r="A18" t="s">
        <v>72</v>
      </c>
      <c r="B18" t="s">
        <v>73</v>
      </c>
      <c r="C18" t="s">
        <v>74</v>
      </c>
      <c r="D18" t="s">
        <v>29</v>
      </c>
      <c r="E18">
        <v>55</v>
      </c>
      <c r="F18">
        <v>96</v>
      </c>
      <c r="G18" t="s">
        <v>53</v>
      </c>
      <c r="I18">
        <f t="shared" si="0"/>
        <v>55</v>
      </c>
      <c r="J18">
        <f t="shared" si="1"/>
        <v>96</v>
      </c>
      <c r="K18" t="str">
        <f t="shared" si="2"/>
        <v>M</v>
      </c>
      <c r="L18" t="str">
        <f t="shared" si="3"/>
        <v>24</v>
      </c>
    </row>
    <row r="19" spans="1:12" x14ac:dyDescent="0.3">
      <c r="A19" t="s">
        <v>75</v>
      </c>
      <c r="B19" t="s">
        <v>76</v>
      </c>
      <c r="C19" t="s">
        <v>9</v>
      </c>
      <c r="D19" t="s">
        <v>10</v>
      </c>
      <c r="E19">
        <v>74</v>
      </c>
      <c r="F19">
        <v>71</v>
      </c>
      <c r="G19" t="s">
        <v>49</v>
      </c>
      <c r="I19">
        <f t="shared" si="0"/>
        <v>74</v>
      </c>
      <c r="J19">
        <f t="shared" si="1"/>
        <v>71</v>
      </c>
      <c r="K19" t="str">
        <f t="shared" si="2"/>
        <v>M</v>
      </c>
      <c r="L19" t="str">
        <f t="shared" si="3"/>
        <v>23</v>
      </c>
    </row>
    <row r="20" spans="1:12" x14ac:dyDescent="0.3">
      <c r="A20" t="s">
        <v>77</v>
      </c>
      <c r="B20" t="s">
        <v>78</v>
      </c>
      <c r="C20" t="s">
        <v>28</v>
      </c>
      <c r="D20" t="s">
        <v>29</v>
      </c>
      <c r="F20">
        <v>62</v>
      </c>
      <c r="G20" t="s">
        <v>20</v>
      </c>
      <c r="I20" s="2">
        <f t="shared" si="0"/>
        <v>65.722222222222229</v>
      </c>
      <c r="J20">
        <f t="shared" si="1"/>
        <v>62</v>
      </c>
      <c r="K20" t="str">
        <f t="shared" si="2"/>
        <v>F</v>
      </c>
      <c r="L20" t="str">
        <f t="shared" si="3"/>
        <v>21</v>
      </c>
    </row>
    <row r="21" spans="1:12" x14ac:dyDescent="0.3">
      <c r="A21" t="s">
        <v>79</v>
      </c>
      <c r="B21" t="s">
        <v>80</v>
      </c>
      <c r="C21" t="s">
        <v>81</v>
      </c>
      <c r="D21" t="s">
        <v>24</v>
      </c>
      <c r="E21">
        <v>53</v>
      </c>
      <c r="F21">
        <v>100</v>
      </c>
      <c r="G21" t="s">
        <v>25</v>
      </c>
      <c r="I21">
        <f t="shared" si="0"/>
        <v>53</v>
      </c>
      <c r="J21">
        <f t="shared" si="1"/>
        <v>100</v>
      </c>
      <c r="K21" t="str">
        <f t="shared" si="2"/>
        <v>M</v>
      </c>
      <c r="L21" t="str">
        <f t="shared" si="3"/>
        <v>25</v>
      </c>
    </row>
    <row r="22" spans="1:12" x14ac:dyDescent="0.3">
      <c r="A22" t="s">
        <v>72</v>
      </c>
      <c r="B22" t="s">
        <v>73</v>
      </c>
      <c r="C22" t="s">
        <v>74</v>
      </c>
      <c r="D22" t="s">
        <v>29</v>
      </c>
      <c r="E22">
        <v>55</v>
      </c>
      <c r="F22">
        <v>96</v>
      </c>
      <c r="G22" t="s">
        <v>53</v>
      </c>
      <c r="I22">
        <f t="shared" si="0"/>
        <v>55</v>
      </c>
      <c r="J22">
        <f t="shared" si="1"/>
        <v>96</v>
      </c>
      <c r="K22" t="str">
        <f t="shared" si="2"/>
        <v>M</v>
      </c>
      <c r="L22" t="str">
        <f t="shared" si="3"/>
        <v>24</v>
      </c>
    </row>
    <row r="23" spans="1:12" x14ac:dyDescent="0.3">
      <c r="A23" t="s">
        <v>82</v>
      </c>
      <c r="B23" t="s">
        <v>83</v>
      </c>
      <c r="C23" t="s">
        <v>84</v>
      </c>
      <c r="D23" t="s">
        <v>29</v>
      </c>
      <c r="E23">
        <v>80</v>
      </c>
      <c r="F23">
        <v>67</v>
      </c>
      <c r="G23" t="s">
        <v>34</v>
      </c>
      <c r="I23">
        <f t="shared" si="0"/>
        <v>80</v>
      </c>
      <c r="J23">
        <f t="shared" si="1"/>
        <v>67</v>
      </c>
      <c r="K23" t="str">
        <f t="shared" si="2"/>
        <v>M</v>
      </c>
      <c r="L23" t="str">
        <f t="shared" si="3"/>
        <v>26</v>
      </c>
    </row>
    <row r="24" spans="1:12" x14ac:dyDescent="0.3">
      <c r="A24" t="s">
        <v>85</v>
      </c>
      <c r="B24" t="s">
        <v>86</v>
      </c>
      <c r="C24" t="s">
        <v>87</v>
      </c>
      <c r="D24" t="s">
        <v>10</v>
      </c>
      <c r="E24">
        <v>62</v>
      </c>
      <c r="F24">
        <v>83</v>
      </c>
      <c r="G24" t="s">
        <v>49</v>
      </c>
      <c r="I24">
        <f t="shared" si="0"/>
        <v>62</v>
      </c>
      <c r="J24">
        <f t="shared" si="1"/>
        <v>83</v>
      </c>
      <c r="K24" t="str">
        <f t="shared" si="2"/>
        <v>M</v>
      </c>
      <c r="L24" t="str">
        <f t="shared" si="3"/>
        <v>23</v>
      </c>
    </row>
    <row r="25" spans="1:12" x14ac:dyDescent="0.3">
      <c r="A25" t="s">
        <v>88</v>
      </c>
      <c r="B25" t="s">
        <v>89</v>
      </c>
      <c r="C25" t="s">
        <v>90</v>
      </c>
      <c r="D25" t="s">
        <v>10</v>
      </c>
      <c r="E25">
        <v>98</v>
      </c>
      <c r="F25">
        <v>92</v>
      </c>
      <c r="G25" t="s">
        <v>91</v>
      </c>
      <c r="I25">
        <f>IF(ISBLANK(E25),AVERAGE($E$2:$E$40),E25)</f>
        <v>98</v>
      </c>
      <c r="J25">
        <f t="shared" si="1"/>
        <v>92</v>
      </c>
      <c r="K25" t="str">
        <f t="shared" si="2"/>
        <v>F</v>
      </c>
      <c r="L25" t="str">
        <f t="shared" si="3"/>
        <v>24</v>
      </c>
    </row>
    <row r="26" spans="1:12" x14ac:dyDescent="0.3">
      <c r="A26" t="s">
        <v>92</v>
      </c>
      <c r="B26" t="s">
        <v>93</v>
      </c>
      <c r="C26" t="s">
        <v>94</v>
      </c>
      <c r="D26" t="s">
        <v>10</v>
      </c>
      <c r="E26">
        <v>41</v>
      </c>
      <c r="F26">
        <v>62</v>
      </c>
      <c r="G26" t="s">
        <v>42</v>
      </c>
      <c r="I26">
        <f t="shared" si="0"/>
        <v>41</v>
      </c>
      <c r="J26">
        <f t="shared" si="1"/>
        <v>62</v>
      </c>
      <c r="K26" t="str">
        <f t="shared" si="2"/>
        <v>F</v>
      </c>
      <c r="L26" t="str">
        <f t="shared" si="3"/>
        <v>28</v>
      </c>
    </row>
    <row r="27" spans="1:12" x14ac:dyDescent="0.3">
      <c r="A27" t="s">
        <v>95</v>
      </c>
      <c r="B27" t="s">
        <v>96</v>
      </c>
      <c r="C27" t="s">
        <v>97</v>
      </c>
      <c r="D27" t="s">
        <v>29</v>
      </c>
      <c r="E27">
        <v>37</v>
      </c>
      <c r="F27">
        <v>73</v>
      </c>
      <c r="G27" t="s">
        <v>98</v>
      </c>
      <c r="I27">
        <f t="shared" si="0"/>
        <v>37</v>
      </c>
      <c r="J27">
        <f t="shared" si="1"/>
        <v>73</v>
      </c>
      <c r="K27" t="str">
        <f t="shared" si="2"/>
        <v>F</v>
      </c>
      <c r="L27" t="str">
        <f t="shared" si="3"/>
        <v>25</v>
      </c>
    </row>
    <row r="28" spans="1:12" x14ac:dyDescent="0.3">
      <c r="A28" t="s">
        <v>99</v>
      </c>
      <c r="B28" t="s">
        <v>100</v>
      </c>
      <c r="C28" t="s">
        <v>101</v>
      </c>
      <c r="D28" t="s">
        <v>24</v>
      </c>
      <c r="E28">
        <v>76</v>
      </c>
      <c r="F28">
        <v>80</v>
      </c>
      <c r="G28" t="s">
        <v>102</v>
      </c>
      <c r="I28">
        <f t="shared" si="0"/>
        <v>76</v>
      </c>
      <c r="J28">
        <f t="shared" si="1"/>
        <v>80</v>
      </c>
      <c r="K28" t="str">
        <f t="shared" si="2"/>
        <v>M</v>
      </c>
      <c r="L28" t="str">
        <f t="shared" si="3"/>
        <v>27</v>
      </c>
    </row>
    <row r="29" spans="1:12" x14ac:dyDescent="0.3">
      <c r="A29" t="s">
        <v>72</v>
      </c>
      <c r="B29" t="s">
        <v>73</v>
      </c>
      <c r="C29" t="s">
        <v>74</v>
      </c>
      <c r="D29" t="s">
        <v>29</v>
      </c>
      <c r="E29">
        <v>55</v>
      </c>
      <c r="F29">
        <v>96</v>
      </c>
      <c r="G29" t="s">
        <v>53</v>
      </c>
      <c r="I29">
        <f t="shared" si="0"/>
        <v>55</v>
      </c>
      <c r="J29">
        <f t="shared" si="1"/>
        <v>96</v>
      </c>
      <c r="K29" t="str">
        <f t="shared" si="2"/>
        <v>M</v>
      </c>
      <c r="L29" t="str">
        <f t="shared" si="3"/>
        <v>24</v>
      </c>
    </row>
    <row r="30" spans="1:12" x14ac:dyDescent="0.3">
      <c r="A30" t="s">
        <v>103</v>
      </c>
      <c r="B30" t="s">
        <v>104</v>
      </c>
      <c r="C30" t="s">
        <v>105</v>
      </c>
      <c r="D30" t="s">
        <v>24</v>
      </c>
      <c r="E30">
        <v>71</v>
      </c>
      <c r="F30">
        <v>84</v>
      </c>
      <c r="G30" t="s">
        <v>64</v>
      </c>
      <c r="I30">
        <f t="shared" si="0"/>
        <v>71</v>
      </c>
      <c r="J30">
        <f t="shared" si="1"/>
        <v>84</v>
      </c>
      <c r="K30" t="str">
        <f t="shared" si="2"/>
        <v>F</v>
      </c>
      <c r="L30" t="str">
        <f t="shared" si="3"/>
        <v>26</v>
      </c>
    </row>
    <row r="31" spans="1:12" x14ac:dyDescent="0.3">
      <c r="A31" t="s">
        <v>106</v>
      </c>
      <c r="B31" t="s">
        <v>107</v>
      </c>
      <c r="C31" t="s">
        <v>108</v>
      </c>
      <c r="D31" t="s">
        <v>24</v>
      </c>
      <c r="F31">
        <v>65</v>
      </c>
      <c r="G31" t="s">
        <v>49</v>
      </c>
      <c r="I31" s="2">
        <f t="shared" si="0"/>
        <v>65.722222222222229</v>
      </c>
      <c r="J31">
        <f t="shared" si="1"/>
        <v>65</v>
      </c>
      <c r="K31" t="str">
        <f t="shared" si="2"/>
        <v>M</v>
      </c>
      <c r="L31" t="str">
        <f t="shared" si="3"/>
        <v>23</v>
      </c>
    </row>
    <row r="32" spans="1:12" x14ac:dyDescent="0.3">
      <c r="A32" t="s">
        <v>109</v>
      </c>
      <c r="B32" t="s">
        <v>110</v>
      </c>
      <c r="C32" t="s">
        <v>111</v>
      </c>
      <c r="D32" t="s">
        <v>10</v>
      </c>
      <c r="E32">
        <v>54</v>
      </c>
      <c r="F32">
        <v>99</v>
      </c>
      <c r="G32" t="s">
        <v>112</v>
      </c>
      <c r="I32">
        <f t="shared" si="0"/>
        <v>54</v>
      </c>
      <c r="J32">
        <f t="shared" si="1"/>
        <v>99</v>
      </c>
      <c r="K32" t="str">
        <f t="shared" si="2"/>
        <v>M</v>
      </c>
      <c r="L32" t="str">
        <f t="shared" si="3"/>
        <v>28</v>
      </c>
    </row>
    <row r="33" spans="1:12" x14ac:dyDescent="0.3">
      <c r="A33" t="s">
        <v>113</v>
      </c>
      <c r="B33" t="s">
        <v>100</v>
      </c>
      <c r="C33" t="s">
        <v>101</v>
      </c>
      <c r="D33" t="s">
        <v>24</v>
      </c>
      <c r="E33">
        <v>76</v>
      </c>
      <c r="F33">
        <v>80</v>
      </c>
      <c r="G33" t="s">
        <v>102</v>
      </c>
      <c r="I33">
        <f t="shared" si="0"/>
        <v>76</v>
      </c>
      <c r="J33">
        <f t="shared" si="1"/>
        <v>80</v>
      </c>
      <c r="K33" t="str">
        <f t="shared" si="2"/>
        <v>M</v>
      </c>
      <c r="L33" t="str">
        <f t="shared" si="3"/>
        <v>27</v>
      </c>
    </row>
    <row r="34" spans="1:12" x14ac:dyDescent="0.3">
      <c r="A34" t="s">
        <v>114</v>
      </c>
      <c r="B34" t="s">
        <v>115</v>
      </c>
      <c r="C34" t="s">
        <v>28</v>
      </c>
      <c r="D34" t="s">
        <v>29</v>
      </c>
      <c r="E34">
        <v>90</v>
      </c>
      <c r="F34">
        <v>66</v>
      </c>
      <c r="G34" t="s">
        <v>57</v>
      </c>
      <c r="I34">
        <f t="shared" si="0"/>
        <v>90</v>
      </c>
      <c r="J34">
        <f t="shared" si="1"/>
        <v>66</v>
      </c>
      <c r="K34" t="str">
        <f t="shared" si="2"/>
        <v>F</v>
      </c>
      <c r="L34" t="str">
        <f t="shared" si="3"/>
        <v>22</v>
      </c>
    </row>
    <row r="35" spans="1:12" x14ac:dyDescent="0.3">
      <c r="A35" t="s">
        <v>116</v>
      </c>
      <c r="B35" t="s">
        <v>117</v>
      </c>
      <c r="C35" t="s">
        <v>118</v>
      </c>
      <c r="D35" t="s">
        <v>10</v>
      </c>
      <c r="E35">
        <v>80</v>
      </c>
      <c r="F35">
        <v>91</v>
      </c>
      <c r="G35" t="s">
        <v>38</v>
      </c>
      <c r="I35">
        <f t="shared" si="0"/>
        <v>80</v>
      </c>
      <c r="J35">
        <f t="shared" si="1"/>
        <v>91</v>
      </c>
      <c r="K35" t="str">
        <f t="shared" si="2"/>
        <v>F</v>
      </c>
      <c r="L35" t="str">
        <f t="shared" si="3"/>
        <v>29</v>
      </c>
    </row>
    <row r="36" spans="1:12" x14ac:dyDescent="0.3">
      <c r="A36" t="s">
        <v>119</v>
      </c>
      <c r="B36" t="s">
        <v>120</v>
      </c>
      <c r="C36" t="s">
        <v>121</v>
      </c>
      <c r="D36" t="s">
        <v>29</v>
      </c>
      <c r="E36">
        <v>57</v>
      </c>
      <c r="F36">
        <v>72</v>
      </c>
      <c r="G36" t="s">
        <v>30</v>
      </c>
      <c r="I36">
        <f t="shared" si="0"/>
        <v>57</v>
      </c>
      <c r="J36">
        <f t="shared" si="1"/>
        <v>72</v>
      </c>
      <c r="K36" t="str">
        <f t="shared" si="2"/>
        <v>F</v>
      </c>
      <c r="L36" t="str">
        <f t="shared" si="3"/>
        <v>23</v>
      </c>
    </row>
    <row r="37" spans="1:12" x14ac:dyDescent="0.3">
      <c r="A37" t="s">
        <v>122</v>
      </c>
      <c r="B37" t="s">
        <v>123</v>
      </c>
      <c r="C37" t="s">
        <v>124</v>
      </c>
      <c r="D37" t="s">
        <v>29</v>
      </c>
      <c r="E37">
        <v>92</v>
      </c>
      <c r="F37">
        <v>87</v>
      </c>
      <c r="G37" t="s">
        <v>25</v>
      </c>
      <c r="I37">
        <f t="shared" si="0"/>
        <v>92</v>
      </c>
      <c r="J37">
        <f t="shared" si="1"/>
        <v>87</v>
      </c>
      <c r="K37" t="str">
        <f t="shared" si="2"/>
        <v>M</v>
      </c>
      <c r="L37" t="str">
        <f t="shared" si="3"/>
        <v>25</v>
      </c>
    </row>
    <row r="38" spans="1:12" x14ac:dyDescent="0.3">
      <c r="A38" t="s">
        <v>125</v>
      </c>
      <c r="B38" t="s">
        <v>126</v>
      </c>
      <c r="C38" t="s">
        <v>127</v>
      </c>
      <c r="D38" t="s">
        <v>10</v>
      </c>
      <c r="E38">
        <v>52</v>
      </c>
      <c r="F38">
        <v>84</v>
      </c>
      <c r="G38" t="s">
        <v>11</v>
      </c>
      <c r="I38">
        <f t="shared" si="0"/>
        <v>52</v>
      </c>
      <c r="J38">
        <f t="shared" si="1"/>
        <v>84</v>
      </c>
      <c r="K38" t="str">
        <f t="shared" si="2"/>
        <v>M</v>
      </c>
      <c r="L38" t="str">
        <f t="shared" si="3"/>
        <v>22</v>
      </c>
    </row>
    <row r="39" spans="1:12" x14ac:dyDescent="0.3">
      <c r="A39" t="s">
        <v>128</v>
      </c>
      <c r="B39" t="s">
        <v>107</v>
      </c>
      <c r="C39" t="s">
        <v>129</v>
      </c>
      <c r="D39" t="s">
        <v>24</v>
      </c>
      <c r="E39">
        <v>53</v>
      </c>
      <c r="F39">
        <v>65</v>
      </c>
      <c r="G39" t="s">
        <v>49</v>
      </c>
      <c r="I39">
        <f t="shared" si="0"/>
        <v>53</v>
      </c>
      <c r="J39">
        <f t="shared" si="1"/>
        <v>65</v>
      </c>
      <c r="K39" t="str">
        <f t="shared" si="2"/>
        <v>M</v>
      </c>
      <c r="L39" t="str">
        <f t="shared" si="3"/>
        <v>23</v>
      </c>
    </row>
    <row r="40" spans="1:12" x14ac:dyDescent="0.3">
      <c r="A40" t="s">
        <v>130</v>
      </c>
      <c r="B40" t="s">
        <v>131</v>
      </c>
      <c r="C40" t="s">
        <v>132</v>
      </c>
      <c r="D40" t="s">
        <v>24</v>
      </c>
      <c r="E40">
        <v>97</v>
      </c>
      <c r="F40">
        <v>88</v>
      </c>
      <c r="G40" t="s">
        <v>53</v>
      </c>
      <c r="I40">
        <f t="shared" si="0"/>
        <v>97</v>
      </c>
      <c r="J40">
        <f t="shared" si="1"/>
        <v>88</v>
      </c>
      <c r="K40" t="str">
        <f t="shared" si="2"/>
        <v>M</v>
      </c>
      <c r="L40" t="str">
        <f t="shared" si="3"/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1E41-1F74-4B7C-99DE-87B03789C1A6}">
  <dimension ref="A1:G40"/>
  <sheetViews>
    <sheetView tabSelected="1" workbookViewId="0">
      <selection activeCell="H10" sqref="H10"/>
    </sheetView>
  </sheetViews>
  <sheetFormatPr defaultRowHeight="14.4" x14ac:dyDescent="0.3"/>
  <cols>
    <col min="1" max="1" width="12.33203125" customWidth="1"/>
    <col min="2" max="2" width="11.6640625" customWidth="1"/>
    <col min="3" max="3" width="11.77734375" customWidth="1"/>
    <col min="4" max="4" width="11" customWidth="1"/>
    <col min="5" max="5" width="19.109375" customWidth="1"/>
    <col min="6" max="6" width="9" customWidth="1"/>
  </cols>
  <sheetData>
    <row r="1" spans="1:7" x14ac:dyDescent="0.3">
      <c r="A1" s="6" t="s">
        <v>0</v>
      </c>
      <c r="B1" s="6" t="s">
        <v>2</v>
      </c>
      <c r="C1" s="7" t="s">
        <v>3</v>
      </c>
      <c r="D1" s="7" t="s">
        <v>133</v>
      </c>
      <c r="E1" s="7" t="s">
        <v>134</v>
      </c>
      <c r="F1" s="7" t="s">
        <v>135</v>
      </c>
      <c r="G1" s="8" t="s">
        <v>136</v>
      </c>
    </row>
    <row r="2" spans="1:7" x14ac:dyDescent="0.3">
      <c r="A2" s="9" t="s">
        <v>7</v>
      </c>
      <c r="B2" s="9" t="s">
        <v>9</v>
      </c>
      <c r="C2" s="10" t="s">
        <v>10</v>
      </c>
      <c r="D2" s="10">
        <v>76</v>
      </c>
      <c r="E2" s="10">
        <v>82</v>
      </c>
      <c r="F2" s="10" t="s">
        <v>137</v>
      </c>
      <c r="G2" s="11">
        <v>22</v>
      </c>
    </row>
    <row r="3" spans="1:7" x14ac:dyDescent="0.3">
      <c r="A3" s="12" t="s">
        <v>12</v>
      </c>
      <c r="B3" s="12" t="s">
        <v>14</v>
      </c>
      <c r="C3" s="13" t="s">
        <v>15</v>
      </c>
      <c r="D3" s="13">
        <v>71</v>
      </c>
      <c r="E3" s="13">
        <v>80.324324324324323</v>
      </c>
      <c r="F3" s="13" t="s">
        <v>137</v>
      </c>
      <c r="G3" s="14">
        <v>34</v>
      </c>
    </row>
    <row r="4" spans="1:7" x14ac:dyDescent="0.3">
      <c r="A4" s="9" t="s">
        <v>17</v>
      </c>
      <c r="B4" s="9" t="s">
        <v>19</v>
      </c>
      <c r="C4" s="10" t="s">
        <v>10</v>
      </c>
      <c r="D4" s="10">
        <v>39</v>
      </c>
      <c r="E4" s="10">
        <v>65</v>
      </c>
      <c r="F4" s="10" t="s">
        <v>138</v>
      </c>
      <c r="G4" s="11">
        <v>21</v>
      </c>
    </row>
    <row r="5" spans="1:7" x14ac:dyDescent="0.3">
      <c r="A5" s="12" t="s">
        <v>21</v>
      </c>
      <c r="B5" s="12" t="s">
        <v>23</v>
      </c>
      <c r="C5" s="13" t="s">
        <v>24</v>
      </c>
      <c r="D5" s="13">
        <v>72</v>
      </c>
      <c r="E5" s="13">
        <v>93</v>
      </c>
      <c r="F5" s="13" t="s">
        <v>137</v>
      </c>
      <c r="G5" s="14">
        <v>25</v>
      </c>
    </row>
    <row r="6" spans="1:7" x14ac:dyDescent="0.3">
      <c r="A6" s="9" t="s">
        <v>26</v>
      </c>
      <c r="B6" s="9" t="s">
        <v>28</v>
      </c>
      <c r="C6" s="10" t="s">
        <v>29</v>
      </c>
      <c r="D6" s="10">
        <v>60</v>
      </c>
      <c r="E6" s="10">
        <v>73</v>
      </c>
      <c r="F6" s="10" t="s">
        <v>138</v>
      </c>
      <c r="G6" s="11">
        <v>23</v>
      </c>
    </row>
    <row r="7" spans="1:7" x14ac:dyDescent="0.3">
      <c r="A7" s="12" t="s">
        <v>31</v>
      </c>
      <c r="B7" s="12" t="s">
        <v>33</v>
      </c>
      <c r="C7" s="13" t="s">
        <v>24</v>
      </c>
      <c r="D7" s="13">
        <v>84</v>
      </c>
      <c r="E7" s="13">
        <v>62</v>
      </c>
      <c r="F7" s="13" t="s">
        <v>137</v>
      </c>
      <c r="G7" s="14">
        <v>26</v>
      </c>
    </row>
    <row r="8" spans="1:7" x14ac:dyDescent="0.3">
      <c r="A8" s="9" t="s">
        <v>35</v>
      </c>
      <c r="B8" s="9" t="s">
        <v>37</v>
      </c>
      <c r="C8" s="10" t="s">
        <v>10</v>
      </c>
      <c r="D8" s="10">
        <v>60</v>
      </c>
      <c r="E8" s="10">
        <v>86</v>
      </c>
      <c r="F8" s="10" t="s">
        <v>138</v>
      </c>
      <c r="G8" s="11">
        <v>29</v>
      </c>
    </row>
    <row r="9" spans="1:7" x14ac:dyDescent="0.3">
      <c r="A9" s="12" t="s">
        <v>39</v>
      </c>
      <c r="B9" s="12" t="s">
        <v>41</v>
      </c>
      <c r="C9" s="13" t="s">
        <v>24</v>
      </c>
      <c r="D9" s="13">
        <v>98</v>
      </c>
      <c r="E9" s="13">
        <v>96</v>
      </c>
      <c r="F9" s="13" t="s">
        <v>138</v>
      </c>
      <c r="G9" s="14">
        <v>28</v>
      </c>
    </row>
    <row r="10" spans="1:7" x14ac:dyDescent="0.3">
      <c r="A10" s="9" t="s">
        <v>43</v>
      </c>
      <c r="B10" s="9" t="s">
        <v>45</v>
      </c>
      <c r="C10" s="10" t="s">
        <v>24</v>
      </c>
      <c r="D10" s="10">
        <v>44</v>
      </c>
      <c r="E10" s="10">
        <v>95</v>
      </c>
      <c r="F10" s="10" t="s">
        <v>137</v>
      </c>
      <c r="G10" s="11">
        <v>22</v>
      </c>
    </row>
    <row r="11" spans="1:7" x14ac:dyDescent="0.3">
      <c r="A11" s="12" t="s">
        <v>46</v>
      </c>
      <c r="B11" s="12" t="s">
        <v>48</v>
      </c>
      <c r="C11" s="13" t="s">
        <v>29</v>
      </c>
      <c r="D11" s="13">
        <v>94</v>
      </c>
      <c r="E11" s="13">
        <v>66</v>
      </c>
      <c r="F11" s="13" t="s">
        <v>137</v>
      </c>
      <c r="G11" s="14">
        <v>23</v>
      </c>
    </row>
    <row r="12" spans="1:7" x14ac:dyDescent="0.3">
      <c r="A12" s="9" t="s">
        <v>50</v>
      </c>
      <c r="B12" s="9" t="s">
        <v>52</v>
      </c>
      <c r="C12" s="10" t="s">
        <v>15</v>
      </c>
      <c r="D12" s="10">
        <v>65.722222222222229</v>
      </c>
      <c r="E12" s="10">
        <v>65</v>
      </c>
      <c r="F12" s="10" t="s">
        <v>137</v>
      </c>
      <c r="G12" s="11">
        <v>24</v>
      </c>
    </row>
    <row r="13" spans="1:7" x14ac:dyDescent="0.3">
      <c r="A13" s="12" t="s">
        <v>54</v>
      </c>
      <c r="B13" s="12" t="s">
        <v>56</v>
      </c>
      <c r="C13" s="13" t="s">
        <v>29</v>
      </c>
      <c r="D13" s="13">
        <v>51</v>
      </c>
      <c r="E13" s="13">
        <v>61</v>
      </c>
      <c r="F13" s="13" t="s">
        <v>138</v>
      </c>
      <c r="G13" s="14">
        <v>22</v>
      </c>
    </row>
    <row r="14" spans="1:7" x14ac:dyDescent="0.3">
      <c r="A14" s="9" t="s">
        <v>58</v>
      </c>
      <c r="B14" s="9" t="s">
        <v>60</v>
      </c>
      <c r="C14" s="10" t="s">
        <v>10</v>
      </c>
      <c r="D14" s="10">
        <v>73</v>
      </c>
      <c r="E14" s="10">
        <v>91</v>
      </c>
      <c r="F14" s="10" t="s">
        <v>137</v>
      </c>
      <c r="G14" s="11">
        <v>25</v>
      </c>
    </row>
    <row r="15" spans="1:7" x14ac:dyDescent="0.3">
      <c r="A15" s="12" t="s">
        <v>61</v>
      </c>
      <c r="B15" s="12" t="s">
        <v>63</v>
      </c>
      <c r="C15" s="13" t="s">
        <v>24</v>
      </c>
      <c r="D15" s="13">
        <v>60</v>
      </c>
      <c r="E15" s="13">
        <v>80.324324324324323</v>
      </c>
      <c r="F15" s="13" t="s">
        <v>138</v>
      </c>
      <c r="G15" s="14">
        <v>26</v>
      </c>
    </row>
    <row r="16" spans="1:7" x14ac:dyDescent="0.3">
      <c r="A16" s="9" t="s">
        <v>65</v>
      </c>
      <c r="B16" s="9" t="s">
        <v>67</v>
      </c>
      <c r="C16" s="10" t="s">
        <v>24</v>
      </c>
      <c r="D16" s="10">
        <v>41</v>
      </c>
      <c r="E16" s="10">
        <v>88</v>
      </c>
      <c r="F16" s="10" t="s">
        <v>138</v>
      </c>
      <c r="G16" s="11">
        <v>27</v>
      </c>
    </row>
    <row r="17" spans="1:7" x14ac:dyDescent="0.3">
      <c r="A17" s="12" t="s">
        <v>69</v>
      </c>
      <c r="B17" s="12" t="s">
        <v>71</v>
      </c>
      <c r="C17" s="13" t="s">
        <v>24</v>
      </c>
      <c r="D17" s="13">
        <v>35</v>
      </c>
      <c r="E17" s="13">
        <v>90</v>
      </c>
      <c r="F17" s="13" t="s">
        <v>137</v>
      </c>
      <c r="G17" s="14">
        <v>22</v>
      </c>
    </row>
    <row r="18" spans="1:7" x14ac:dyDescent="0.3">
      <c r="A18" s="9" t="s">
        <v>72</v>
      </c>
      <c r="B18" s="9" t="s">
        <v>74</v>
      </c>
      <c r="C18" s="10" t="s">
        <v>29</v>
      </c>
      <c r="D18" s="10">
        <v>55</v>
      </c>
      <c r="E18" s="10">
        <v>96</v>
      </c>
      <c r="F18" s="10" t="s">
        <v>137</v>
      </c>
      <c r="G18" s="11">
        <v>24</v>
      </c>
    </row>
    <row r="19" spans="1:7" x14ac:dyDescent="0.3">
      <c r="A19" s="12" t="s">
        <v>75</v>
      </c>
      <c r="B19" s="12" t="s">
        <v>9</v>
      </c>
      <c r="C19" s="13" t="s">
        <v>10</v>
      </c>
      <c r="D19" s="13">
        <v>74</v>
      </c>
      <c r="E19" s="13">
        <v>71</v>
      </c>
      <c r="F19" s="13" t="s">
        <v>137</v>
      </c>
      <c r="G19" s="14">
        <v>23</v>
      </c>
    </row>
    <row r="20" spans="1:7" x14ac:dyDescent="0.3">
      <c r="A20" s="9" t="s">
        <v>77</v>
      </c>
      <c r="B20" s="9" t="s">
        <v>28</v>
      </c>
      <c r="C20" s="10" t="s">
        <v>29</v>
      </c>
      <c r="D20" s="10">
        <v>65.722222222222229</v>
      </c>
      <c r="E20" s="10">
        <v>62</v>
      </c>
      <c r="F20" s="10" t="s">
        <v>138</v>
      </c>
      <c r="G20" s="11">
        <v>21</v>
      </c>
    </row>
    <row r="21" spans="1:7" x14ac:dyDescent="0.3">
      <c r="A21" s="12" t="s">
        <v>79</v>
      </c>
      <c r="B21" s="12" t="s">
        <v>81</v>
      </c>
      <c r="C21" s="13" t="s">
        <v>24</v>
      </c>
      <c r="D21" s="13">
        <v>53</v>
      </c>
      <c r="E21" s="13">
        <v>100</v>
      </c>
      <c r="F21" s="13" t="s">
        <v>137</v>
      </c>
      <c r="G21" s="14">
        <v>25</v>
      </c>
    </row>
    <row r="22" spans="1:7" x14ac:dyDescent="0.3">
      <c r="A22" s="9" t="s">
        <v>72</v>
      </c>
      <c r="B22" s="9" t="s">
        <v>74</v>
      </c>
      <c r="C22" s="10" t="s">
        <v>29</v>
      </c>
      <c r="D22" s="10">
        <v>55</v>
      </c>
      <c r="E22" s="10">
        <v>96</v>
      </c>
      <c r="F22" s="10" t="s">
        <v>137</v>
      </c>
      <c r="G22" s="11">
        <v>24</v>
      </c>
    </row>
    <row r="23" spans="1:7" x14ac:dyDescent="0.3">
      <c r="A23" s="12" t="s">
        <v>82</v>
      </c>
      <c r="B23" s="12" t="s">
        <v>84</v>
      </c>
      <c r="C23" s="13" t="s">
        <v>29</v>
      </c>
      <c r="D23" s="13">
        <v>80</v>
      </c>
      <c r="E23" s="13">
        <v>67</v>
      </c>
      <c r="F23" s="13" t="s">
        <v>137</v>
      </c>
      <c r="G23" s="14">
        <v>26</v>
      </c>
    </row>
    <row r="24" spans="1:7" x14ac:dyDescent="0.3">
      <c r="A24" s="9" t="s">
        <v>85</v>
      </c>
      <c r="B24" s="9" t="s">
        <v>87</v>
      </c>
      <c r="C24" s="10" t="s">
        <v>10</v>
      </c>
      <c r="D24" s="10">
        <v>62</v>
      </c>
      <c r="E24" s="10">
        <v>83</v>
      </c>
      <c r="F24" s="10" t="s">
        <v>137</v>
      </c>
      <c r="G24" s="11">
        <v>23</v>
      </c>
    </row>
    <row r="25" spans="1:7" x14ac:dyDescent="0.3">
      <c r="A25" s="12" t="s">
        <v>88</v>
      </c>
      <c r="B25" s="12" t="s">
        <v>90</v>
      </c>
      <c r="C25" s="13" t="s">
        <v>10</v>
      </c>
      <c r="D25" s="13">
        <v>98</v>
      </c>
      <c r="E25" s="13">
        <v>92</v>
      </c>
      <c r="F25" s="13" t="s">
        <v>138</v>
      </c>
      <c r="G25" s="14">
        <v>24</v>
      </c>
    </row>
    <row r="26" spans="1:7" x14ac:dyDescent="0.3">
      <c r="A26" s="9" t="s">
        <v>92</v>
      </c>
      <c r="B26" s="9" t="s">
        <v>94</v>
      </c>
      <c r="C26" s="10" t="s">
        <v>10</v>
      </c>
      <c r="D26" s="10">
        <v>41</v>
      </c>
      <c r="E26" s="10">
        <v>62</v>
      </c>
      <c r="F26" s="10" t="s">
        <v>138</v>
      </c>
      <c r="G26" s="11">
        <v>28</v>
      </c>
    </row>
    <row r="27" spans="1:7" x14ac:dyDescent="0.3">
      <c r="A27" s="12" t="s">
        <v>95</v>
      </c>
      <c r="B27" s="12" t="s">
        <v>97</v>
      </c>
      <c r="C27" s="13" t="s">
        <v>29</v>
      </c>
      <c r="D27" s="13">
        <v>37</v>
      </c>
      <c r="E27" s="13">
        <v>73</v>
      </c>
      <c r="F27" s="13" t="s">
        <v>138</v>
      </c>
      <c r="G27" s="14">
        <v>25</v>
      </c>
    </row>
    <row r="28" spans="1:7" x14ac:dyDescent="0.3">
      <c r="A28" s="9" t="s">
        <v>99</v>
      </c>
      <c r="B28" s="9" t="s">
        <v>101</v>
      </c>
      <c r="C28" s="10" t="s">
        <v>24</v>
      </c>
      <c r="D28" s="10">
        <v>76</v>
      </c>
      <c r="E28" s="10">
        <v>80</v>
      </c>
      <c r="F28" s="10" t="s">
        <v>137</v>
      </c>
      <c r="G28" s="11">
        <v>27</v>
      </c>
    </row>
    <row r="29" spans="1:7" x14ac:dyDescent="0.3">
      <c r="A29" s="12" t="s">
        <v>72</v>
      </c>
      <c r="B29" s="12" t="s">
        <v>74</v>
      </c>
      <c r="C29" s="13" t="s">
        <v>29</v>
      </c>
      <c r="D29" s="13">
        <v>55</v>
      </c>
      <c r="E29" s="13">
        <v>96</v>
      </c>
      <c r="F29" s="13" t="s">
        <v>137</v>
      </c>
      <c r="G29" s="14">
        <v>24</v>
      </c>
    </row>
    <row r="30" spans="1:7" x14ac:dyDescent="0.3">
      <c r="A30" s="9" t="s">
        <v>103</v>
      </c>
      <c r="B30" s="9" t="s">
        <v>105</v>
      </c>
      <c r="C30" s="10" t="s">
        <v>24</v>
      </c>
      <c r="D30" s="10">
        <v>71</v>
      </c>
      <c r="E30" s="10">
        <v>84</v>
      </c>
      <c r="F30" s="10" t="s">
        <v>138</v>
      </c>
      <c r="G30" s="11">
        <v>26</v>
      </c>
    </row>
    <row r="31" spans="1:7" x14ac:dyDescent="0.3">
      <c r="A31" s="12" t="s">
        <v>106</v>
      </c>
      <c r="B31" s="12" t="s">
        <v>108</v>
      </c>
      <c r="C31" s="13" t="s">
        <v>24</v>
      </c>
      <c r="D31" s="13">
        <v>65.722222222222229</v>
      </c>
      <c r="E31" s="13">
        <v>65</v>
      </c>
      <c r="F31" s="13" t="s">
        <v>137</v>
      </c>
      <c r="G31" s="14">
        <v>23</v>
      </c>
    </row>
    <row r="32" spans="1:7" x14ac:dyDescent="0.3">
      <c r="A32" s="9" t="s">
        <v>109</v>
      </c>
      <c r="B32" s="9" t="s">
        <v>111</v>
      </c>
      <c r="C32" s="10" t="s">
        <v>10</v>
      </c>
      <c r="D32" s="10">
        <v>54</v>
      </c>
      <c r="E32" s="10">
        <v>99</v>
      </c>
      <c r="F32" s="10" t="s">
        <v>137</v>
      </c>
      <c r="G32" s="11">
        <v>28</v>
      </c>
    </row>
    <row r="33" spans="1:7" x14ac:dyDescent="0.3">
      <c r="A33" s="12" t="s">
        <v>113</v>
      </c>
      <c r="B33" s="12" t="s">
        <v>101</v>
      </c>
      <c r="C33" s="13" t="s">
        <v>24</v>
      </c>
      <c r="D33" s="13">
        <v>76</v>
      </c>
      <c r="E33" s="13">
        <v>80</v>
      </c>
      <c r="F33" s="13" t="s">
        <v>137</v>
      </c>
      <c r="G33" s="14">
        <v>27</v>
      </c>
    </row>
    <row r="34" spans="1:7" x14ac:dyDescent="0.3">
      <c r="A34" s="9" t="s">
        <v>114</v>
      </c>
      <c r="B34" s="9" t="s">
        <v>28</v>
      </c>
      <c r="C34" s="10" t="s">
        <v>29</v>
      </c>
      <c r="D34" s="10">
        <v>90</v>
      </c>
      <c r="E34" s="10">
        <v>66</v>
      </c>
      <c r="F34" s="10" t="s">
        <v>138</v>
      </c>
      <c r="G34" s="11">
        <v>22</v>
      </c>
    </row>
    <row r="35" spans="1:7" x14ac:dyDescent="0.3">
      <c r="A35" s="12" t="s">
        <v>116</v>
      </c>
      <c r="B35" s="12" t="s">
        <v>118</v>
      </c>
      <c r="C35" s="13" t="s">
        <v>10</v>
      </c>
      <c r="D35" s="13">
        <v>80</v>
      </c>
      <c r="E35" s="13">
        <v>91</v>
      </c>
      <c r="F35" s="13" t="s">
        <v>138</v>
      </c>
      <c r="G35" s="14">
        <v>29</v>
      </c>
    </row>
    <row r="36" spans="1:7" x14ac:dyDescent="0.3">
      <c r="A36" s="9" t="s">
        <v>119</v>
      </c>
      <c r="B36" s="9" t="s">
        <v>121</v>
      </c>
      <c r="C36" s="10" t="s">
        <v>29</v>
      </c>
      <c r="D36" s="10">
        <v>57</v>
      </c>
      <c r="E36" s="10">
        <v>72</v>
      </c>
      <c r="F36" s="10" t="s">
        <v>138</v>
      </c>
      <c r="G36" s="11">
        <v>23</v>
      </c>
    </row>
    <row r="37" spans="1:7" x14ac:dyDescent="0.3">
      <c r="A37" s="12" t="s">
        <v>122</v>
      </c>
      <c r="B37" s="12" t="s">
        <v>124</v>
      </c>
      <c r="C37" s="13" t="s">
        <v>29</v>
      </c>
      <c r="D37" s="13">
        <v>92</v>
      </c>
      <c r="E37" s="13">
        <v>87</v>
      </c>
      <c r="F37" s="13" t="s">
        <v>137</v>
      </c>
      <c r="G37" s="14">
        <v>25</v>
      </c>
    </row>
    <row r="38" spans="1:7" x14ac:dyDescent="0.3">
      <c r="A38" s="9" t="s">
        <v>125</v>
      </c>
      <c r="B38" s="9" t="s">
        <v>127</v>
      </c>
      <c r="C38" s="10" t="s">
        <v>10</v>
      </c>
      <c r="D38" s="10">
        <v>52</v>
      </c>
      <c r="E38" s="10">
        <v>84</v>
      </c>
      <c r="F38" s="10" t="s">
        <v>137</v>
      </c>
      <c r="G38" s="11">
        <v>22</v>
      </c>
    </row>
    <row r="39" spans="1:7" x14ac:dyDescent="0.3">
      <c r="A39" s="12" t="s">
        <v>128</v>
      </c>
      <c r="B39" s="12" t="s">
        <v>129</v>
      </c>
      <c r="C39" s="13" t="s">
        <v>24</v>
      </c>
      <c r="D39" s="13">
        <v>53</v>
      </c>
      <c r="E39" s="13">
        <v>65</v>
      </c>
      <c r="F39" s="13" t="s">
        <v>137</v>
      </c>
      <c r="G39" s="14">
        <v>23</v>
      </c>
    </row>
    <row r="40" spans="1:7" x14ac:dyDescent="0.3">
      <c r="A40" s="4" t="s">
        <v>130</v>
      </c>
      <c r="B40" s="4" t="s">
        <v>132</v>
      </c>
      <c r="C40" s="15" t="s">
        <v>24</v>
      </c>
      <c r="D40" s="15">
        <v>97</v>
      </c>
      <c r="E40" s="15">
        <v>88</v>
      </c>
      <c r="F40" s="15" t="s">
        <v>137</v>
      </c>
      <c r="G40" s="16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2A38-E096-44C3-88A4-653E1A69D70F}">
  <dimension ref="A1:G40"/>
  <sheetViews>
    <sheetView topLeftCell="A20" workbookViewId="0">
      <selection activeCell="I40" sqref="I40"/>
    </sheetView>
  </sheetViews>
  <sheetFormatPr defaultRowHeight="14.4" x14ac:dyDescent="0.3"/>
  <cols>
    <col min="1" max="1" width="11.44140625" customWidth="1"/>
    <col min="2" max="2" width="10.5546875" customWidth="1"/>
    <col min="5" max="5" width="17.77734375" customWidth="1"/>
  </cols>
  <sheetData>
    <row r="1" spans="1:7" x14ac:dyDescent="0.3">
      <c r="A1" s="3" t="s">
        <v>0</v>
      </c>
      <c r="B1" s="6" t="s">
        <v>2</v>
      </c>
      <c r="C1" s="7" t="s">
        <v>3</v>
      </c>
      <c r="D1" s="7" t="s">
        <v>133</v>
      </c>
      <c r="E1" s="7" t="s">
        <v>139</v>
      </c>
      <c r="F1" s="7" t="s">
        <v>135</v>
      </c>
      <c r="G1" s="8" t="s">
        <v>136</v>
      </c>
    </row>
    <row r="2" spans="1:7" x14ac:dyDescent="0.3">
      <c r="A2" s="4" t="s">
        <v>7</v>
      </c>
      <c r="B2" t="str">
        <f>VLOOKUP($A2,'Data cleaned'!$A$2:$G$40,2,FALSE)</f>
        <v>Kumar</v>
      </c>
      <c r="C2" t="str">
        <f>VLOOKUP($A2,'Data cleaned'!$A$2:G40,3,FALSE)</f>
        <v>Arts</v>
      </c>
      <c r="D2">
        <f>VLOOKUP($A2,'Data cleaned'!$A$2:$G$40,4,FALSE)</f>
        <v>76</v>
      </c>
      <c r="E2">
        <f>VLOOKUP($A2,'Data cleaned'!$A$2:$G$40,5,FALSE)</f>
        <v>82</v>
      </c>
      <c r="F2" t="str">
        <f>VLOOKUP($A2,'Data cleaned'!$A$2:$G$40,6,FALSE)</f>
        <v>M</v>
      </c>
      <c r="G2">
        <f>VLOOKUP(A2,'Data cleaned'!$A$2:$G$40,7,FALSE)</f>
        <v>22</v>
      </c>
    </row>
    <row r="3" spans="1:7" x14ac:dyDescent="0.3">
      <c r="A3" s="5" t="s">
        <v>12</v>
      </c>
      <c r="B3" t="str">
        <f>VLOOKUP($A3,'Data cleaned'!$A$2:$G$40,2,FALSE)</f>
        <v>Raj</v>
      </c>
      <c r="C3" t="str">
        <f>VLOOKUP($A3,'Data cleaned'!$A$2:G41,3,FALSE)</f>
        <v>arts</v>
      </c>
      <c r="D3">
        <f>VLOOKUP($A3,'Data cleaned'!$A$2:$G$40,4,FALSE)</f>
        <v>71</v>
      </c>
      <c r="E3">
        <f>VLOOKUP($A3,'Data cleaned'!$A$2:$G$40,5,FALSE)</f>
        <v>80.324324324324323</v>
      </c>
      <c r="F3" t="str">
        <f>VLOOKUP($A3,'Data cleaned'!$A$2:$G$40,6,FALSE)</f>
        <v>M</v>
      </c>
      <c r="G3">
        <f>VLOOKUP(A3,'Data cleaned'!$A$2:$G$40,7,FALSE)</f>
        <v>34</v>
      </c>
    </row>
    <row r="4" spans="1:7" x14ac:dyDescent="0.3">
      <c r="A4" s="4" t="s">
        <v>17</v>
      </c>
      <c r="B4" t="str">
        <f>VLOOKUP($A4,'Data cleaned'!$A$2:$G$40,2,FALSE)</f>
        <v>Rani</v>
      </c>
      <c r="C4" t="str">
        <f>VLOOKUP($A4,'Data cleaned'!$A$2:G42,3,FALSE)</f>
        <v>Arts</v>
      </c>
      <c r="D4">
        <f>VLOOKUP($A4,'Data cleaned'!$A$2:$G$40,4,FALSE)</f>
        <v>39</v>
      </c>
      <c r="E4">
        <f>VLOOKUP($A4,'Data cleaned'!$A$2:$G$40,5,FALSE)</f>
        <v>65</v>
      </c>
      <c r="F4" t="str">
        <f>VLOOKUP($A4,'Data cleaned'!$A$2:$G$40,6,FALSE)</f>
        <v>F</v>
      </c>
      <c r="G4">
        <f>VLOOKUP(A4,'Data cleaned'!$A$2:$G$40,7,FALSE)</f>
        <v>21</v>
      </c>
    </row>
    <row r="5" spans="1:7" x14ac:dyDescent="0.3">
      <c r="A5" s="5" t="s">
        <v>21</v>
      </c>
      <c r="B5" t="str">
        <f>VLOOKUP($A5,'Data cleaned'!$A$2:$G$40,2,FALSE)</f>
        <v>Babu</v>
      </c>
      <c r="C5" t="str">
        <f>VLOOKUP($A5,'Data cleaned'!$A$2:G43,3,FALSE)</f>
        <v>Commerce</v>
      </c>
      <c r="D5">
        <f>VLOOKUP($A5,'Data cleaned'!$A$2:$G$40,4,FALSE)</f>
        <v>72</v>
      </c>
      <c r="E5">
        <f>VLOOKUP($A5,'Data cleaned'!$A$2:$G$40,5,FALSE)</f>
        <v>93</v>
      </c>
      <c r="F5" t="str">
        <f>VLOOKUP($A5,'Data cleaned'!$A$2:$G$40,6,FALSE)</f>
        <v>M</v>
      </c>
      <c r="G5">
        <f>VLOOKUP(A5,'Data cleaned'!$A$2:$G$40,7,FALSE)</f>
        <v>25</v>
      </c>
    </row>
    <row r="6" spans="1:7" x14ac:dyDescent="0.3">
      <c r="A6" s="4" t="s">
        <v>26</v>
      </c>
      <c r="B6" t="str">
        <f>VLOOKUP($A6,'Data cleaned'!$A$2:$G$40,2,FALSE)</f>
        <v>Devi</v>
      </c>
      <c r="C6" t="str">
        <f>VLOOKUP($A6,'Data cleaned'!$A$2:G44,3,FALSE)</f>
        <v>Science</v>
      </c>
      <c r="D6">
        <f>VLOOKUP($A6,'Data cleaned'!$A$2:$G$40,4,FALSE)</f>
        <v>60</v>
      </c>
      <c r="E6">
        <f>VLOOKUP($A6,'Data cleaned'!$A$2:$G$40,5,FALSE)</f>
        <v>73</v>
      </c>
      <c r="F6" t="str">
        <f>VLOOKUP($A6,'Data cleaned'!$A$2:$G$40,6,FALSE)</f>
        <v>F</v>
      </c>
      <c r="G6">
        <f>VLOOKUP(A6,'Data cleaned'!$A$2:$G$40,7,FALSE)</f>
        <v>23</v>
      </c>
    </row>
    <row r="7" spans="1:7" x14ac:dyDescent="0.3">
      <c r="A7" s="5" t="s">
        <v>31</v>
      </c>
      <c r="B7" t="str">
        <f>VLOOKUP($A7,'Data cleaned'!$A$2:$G$40,2,FALSE)</f>
        <v>Muthu</v>
      </c>
      <c r="C7" t="str">
        <f>VLOOKUP($A7,'Data cleaned'!$A$2:G45,3,FALSE)</f>
        <v>Commerce</v>
      </c>
      <c r="D7">
        <f>VLOOKUP($A7,'Data cleaned'!$A$2:$G$40,4,FALSE)</f>
        <v>84</v>
      </c>
      <c r="E7">
        <f>VLOOKUP($A7,'Data cleaned'!$A$2:$G$40,5,FALSE)</f>
        <v>62</v>
      </c>
      <c r="F7" t="str">
        <f>VLOOKUP($A7,'Data cleaned'!$A$2:$G$40,6,FALSE)</f>
        <v>M</v>
      </c>
      <c r="G7">
        <f>VLOOKUP(A7,'Data cleaned'!$A$2:$G$40,7,FALSE)</f>
        <v>26</v>
      </c>
    </row>
    <row r="8" spans="1:7" x14ac:dyDescent="0.3">
      <c r="A8" s="4" t="s">
        <v>35</v>
      </c>
      <c r="B8" t="str">
        <f>VLOOKUP($A8,'Data cleaned'!$A$2:$G$40,2,FALSE)</f>
        <v>Lakshmi</v>
      </c>
      <c r="C8" t="str">
        <f>VLOOKUP($A8,'Data cleaned'!$A$2:G46,3,FALSE)</f>
        <v>Arts</v>
      </c>
      <c r="D8">
        <f>VLOOKUP($A8,'Data cleaned'!$A$2:$G$40,4,FALSE)</f>
        <v>60</v>
      </c>
      <c r="E8">
        <f>VLOOKUP($A8,'Data cleaned'!$A$2:$G$40,5,FALSE)</f>
        <v>86</v>
      </c>
      <c r="F8" t="str">
        <f>VLOOKUP($A8,'Data cleaned'!$A$2:$G$40,6,FALSE)</f>
        <v>F</v>
      </c>
      <c r="G8">
        <f>VLOOKUP(A8,'Data cleaned'!$A$2:$G$40,7,FALSE)</f>
        <v>29</v>
      </c>
    </row>
    <row r="9" spans="1:7" x14ac:dyDescent="0.3">
      <c r="A9" s="5" t="s">
        <v>39</v>
      </c>
      <c r="B9" t="str">
        <f>VLOOKUP($A9,'Data cleaned'!$A$2:$G$40,2,FALSE)</f>
        <v>Selvi</v>
      </c>
      <c r="C9" t="str">
        <f>VLOOKUP($A9,'Data cleaned'!$A$2:G47,3,FALSE)</f>
        <v>Commerce</v>
      </c>
      <c r="D9">
        <f>VLOOKUP($A9,'Data cleaned'!$A$2:$G$40,4,FALSE)</f>
        <v>98</v>
      </c>
      <c r="E9">
        <f>VLOOKUP($A9,'Data cleaned'!$A$2:$G$40,5,FALSE)</f>
        <v>96</v>
      </c>
      <c r="F9" t="str">
        <f>VLOOKUP($A9,'Data cleaned'!$A$2:$G$40,6,FALSE)</f>
        <v>F</v>
      </c>
      <c r="G9">
        <f>VLOOKUP(A9,'Data cleaned'!$A$2:$G$40,7,FALSE)</f>
        <v>28</v>
      </c>
    </row>
    <row r="10" spans="1:7" x14ac:dyDescent="0.3">
      <c r="A10" s="4" t="s">
        <v>43</v>
      </c>
      <c r="B10" t="str">
        <f>VLOOKUP($A10,'Data cleaned'!$A$2:$G$40,2,FALSE)</f>
        <v>Velu</v>
      </c>
      <c r="C10" t="str">
        <f>VLOOKUP($A10,'Data cleaned'!$A$2:G48,3,FALSE)</f>
        <v>Commerce</v>
      </c>
      <c r="D10">
        <f>VLOOKUP($A10,'Data cleaned'!$A$2:$G$40,4,FALSE)</f>
        <v>44</v>
      </c>
      <c r="E10">
        <f>VLOOKUP($A10,'Data cleaned'!$A$2:$G$40,5,FALSE)</f>
        <v>95</v>
      </c>
      <c r="F10" t="str">
        <f>VLOOKUP($A10,'Data cleaned'!$A$2:$G$40,6,FALSE)</f>
        <v>M</v>
      </c>
      <c r="G10">
        <f>VLOOKUP(A10,'Data cleaned'!$A$2:$G$40,7,FALSE)</f>
        <v>22</v>
      </c>
    </row>
    <row r="11" spans="1:7" x14ac:dyDescent="0.3">
      <c r="A11" s="5" t="s">
        <v>46</v>
      </c>
      <c r="B11" t="str">
        <f>VLOOKUP($A11,'Data cleaned'!$A$2:$G$40,2,FALSE)</f>
        <v>Gopi</v>
      </c>
      <c r="C11" t="str">
        <f>VLOOKUP($A11,'Data cleaned'!$A$2:G49,3,FALSE)</f>
        <v>Science</v>
      </c>
      <c r="D11">
        <f>VLOOKUP($A11,'Data cleaned'!$A$2:$G$40,4,FALSE)</f>
        <v>94</v>
      </c>
      <c r="E11">
        <f>VLOOKUP($A11,'Data cleaned'!$A$2:$G$40,5,FALSE)</f>
        <v>66</v>
      </c>
      <c r="F11" t="str">
        <f>VLOOKUP($A11,'Data cleaned'!$A$2:$G$40,6,FALSE)</f>
        <v>M</v>
      </c>
      <c r="G11">
        <f>VLOOKUP(A11,'Data cleaned'!$A$2:$G$40,7,FALSE)</f>
        <v>23</v>
      </c>
    </row>
    <row r="12" spans="1:7" x14ac:dyDescent="0.3">
      <c r="A12" s="4" t="s">
        <v>50</v>
      </c>
      <c r="B12" t="str">
        <f>VLOOKUP($A12,'Data cleaned'!$A$2:$G$40,2,FALSE)</f>
        <v>Sekar</v>
      </c>
      <c r="C12" t="str">
        <f>VLOOKUP($A12,'Data cleaned'!$A$2:G50,3,FALSE)</f>
        <v>arts</v>
      </c>
      <c r="D12">
        <f>VLOOKUP($A12,'Data cleaned'!$A$2:$G$40,4,FALSE)</f>
        <v>65.722222222222229</v>
      </c>
      <c r="E12">
        <f>VLOOKUP($A12,'Data cleaned'!$A$2:$G$40,5,FALSE)</f>
        <v>65</v>
      </c>
      <c r="F12" t="str">
        <f>VLOOKUP($A12,'Data cleaned'!$A$2:$G$40,6,FALSE)</f>
        <v>M</v>
      </c>
      <c r="G12">
        <f>VLOOKUP(A12,'Data cleaned'!$A$2:$G$40,7,FALSE)</f>
        <v>24</v>
      </c>
    </row>
    <row r="13" spans="1:7" x14ac:dyDescent="0.3">
      <c r="A13" s="5" t="s">
        <v>54</v>
      </c>
      <c r="B13" t="str">
        <f>VLOOKUP($A13,'Data cleaned'!$A$2:$G$40,2,FALSE)</f>
        <v>Raji</v>
      </c>
      <c r="C13" t="str">
        <f>VLOOKUP($A13,'Data cleaned'!$A$2:G51,3,FALSE)</f>
        <v>Science</v>
      </c>
      <c r="D13">
        <f>VLOOKUP($A13,'Data cleaned'!$A$2:$G$40,4,FALSE)</f>
        <v>51</v>
      </c>
      <c r="E13">
        <f>VLOOKUP($A13,'Data cleaned'!$A$2:$G$40,5,FALSE)</f>
        <v>61</v>
      </c>
      <c r="F13" t="str">
        <f>VLOOKUP($A13,'Data cleaned'!$A$2:$G$40,6,FALSE)</f>
        <v>F</v>
      </c>
      <c r="G13">
        <f>VLOOKUP(A13,'Data cleaned'!$A$2:$G$40,7,FALSE)</f>
        <v>22</v>
      </c>
    </row>
    <row r="14" spans="1:7" x14ac:dyDescent="0.3">
      <c r="A14" s="4" t="s">
        <v>58</v>
      </c>
      <c r="B14" t="str">
        <f>VLOOKUP($A14,'Data cleaned'!$A$2:$G$40,2,FALSE)</f>
        <v>Arul</v>
      </c>
      <c r="C14" t="str">
        <f>VLOOKUP($A14,'Data cleaned'!$A$2:G52,3,FALSE)</f>
        <v>Arts</v>
      </c>
      <c r="D14">
        <f>VLOOKUP($A14,'Data cleaned'!$A$2:$G$40,4,FALSE)</f>
        <v>73</v>
      </c>
      <c r="E14">
        <f>VLOOKUP($A14,'Data cleaned'!$A$2:$G$40,5,FALSE)</f>
        <v>91</v>
      </c>
      <c r="F14" t="str">
        <f>VLOOKUP($A14,'Data cleaned'!$A$2:$G$40,6,FALSE)</f>
        <v>M</v>
      </c>
      <c r="G14">
        <f>VLOOKUP(A14,'Data cleaned'!$A$2:$G$40,7,FALSE)</f>
        <v>25</v>
      </c>
    </row>
    <row r="15" spans="1:7" x14ac:dyDescent="0.3">
      <c r="A15" s="5" t="s">
        <v>61</v>
      </c>
      <c r="B15" t="str">
        <f>VLOOKUP($A15,'Data cleaned'!$A$2:$G$40,2,FALSE)</f>
        <v>Radha</v>
      </c>
      <c r="C15" t="str">
        <f>VLOOKUP($A15,'Data cleaned'!$A$2:G53,3,FALSE)</f>
        <v>Commerce</v>
      </c>
      <c r="D15">
        <f>VLOOKUP($A15,'Data cleaned'!$A$2:$G$40,4,FALSE)</f>
        <v>60</v>
      </c>
      <c r="E15">
        <f>VLOOKUP($A15,'Data cleaned'!$A$2:$G$40,5,FALSE)</f>
        <v>80.324324324324323</v>
      </c>
      <c r="F15" t="str">
        <f>VLOOKUP($A15,'Data cleaned'!$A$2:$G$40,6,FALSE)</f>
        <v>F</v>
      </c>
      <c r="G15">
        <f>VLOOKUP(A15,'Data cleaned'!$A$2:$G$40,7,FALSE)</f>
        <v>26</v>
      </c>
    </row>
    <row r="16" spans="1:7" x14ac:dyDescent="0.3">
      <c r="A16" s="4" t="s">
        <v>65</v>
      </c>
      <c r="B16" t="str">
        <f>VLOOKUP($A16,'Data cleaned'!$A$2:$G$40,2,FALSE)</f>
        <v>Meena</v>
      </c>
      <c r="C16" t="str">
        <f>VLOOKUP($A16,'Data cleaned'!$A$2:G54,3,FALSE)</f>
        <v>Commerce</v>
      </c>
      <c r="D16">
        <f>VLOOKUP($A16,'Data cleaned'!$A$2:$G$40,4,FALSE)</f>
        <v>41</v>
      </c>
      <c r="E16">
        <f>VLOOKUP($A16,'Data cleaned'!$A$2:$G$40,5,FALSE)</f>
        <v>88</v>
      </c>
      <c r="F16" t="str">
        <f>VLOOKUP($A16,'Data cleaned'!$A$2:$G$40,6,FALSE)</f>
        <v>F</v>
      </c>
      <c r="G16">
        <f>VLOOKUP(A16,'Data cleaned'!$A$2:$G$40,7,FALSE)</f>
        <v>27</v>
      </c>
    </row>
    <row r="17" spans="1:7" x14ac:dyDescent="0.3">
      <c r="A17" s="5" t="s">
        <v>69</v>
      </c>
      <c r="B17" t="str">
        <f>VLOOKUP($A17,'Data cleaned'!$A$2:$G$40,2,FALSE)</f>
        <v>Hari</v>
      </c>
      <c r="C17" t="str">
        <f>VLOOKUP($A17,'Data cleaned'!$A$2:G55,3,FALSE)</f>
        <v>Commerce</v>
      </c>
      <c r="D17">
        <f>VLOOKUP($A17,'Data cleaned'!$A$2:$G$40,4,FALSE)</f>
        <v>35</v>
      </c>
      <c r="E17">
        <f>VLOOKUP($A17,'Data cleaned'!$A$2:$G$40,5,FALSE)</f>
        <v>90</v>
      </c>
      <c r="F17" t="str">
        <f>VLOOKUP($A17,'Data cleaned'!$A$2:$G$40,6,FALSE)</f>
        <v>M</v>
      </c>
      <c r="G17">
        <f>VLOOKUP(A17,'Data cleaned'!$A$2:$G$40,7,FALSE)</f>
        <v>22</v>
      </c>
    </row>
    <row r="18" spans="1:7" x14ac:dyDescent="0.3">
      <c r="A18" s="4" t="s">
        <v>72</v>
      </c>
      <c r="B18" t="str">
        <f>VLOOKUP($A18,'Data cleaned'!$A$2:$G$40,2,FALSE)</f>
        <v>Raja</v>
      </c>
      <c r="C18" t="str">
        <f>VLOOKUP($A18,'Data cleaned'!$A$2:G56,3,FALSE)</f>
        <v>Science</v>
      </c>
      <c r="D18">
        <f>VLOOKUP($A18,'Data cleaned'!$A$2:$G$40,4,FALSE)</f>
        <v>55</v>
      </c>
      <c r="E18">
        <f>VLOOKUP($A18,'Data cleaned'!$A$2:$G$40,5,FALSE)</f>
        <v>96</v>
      </c>
      <c r="F18" t="str">
        <f>VLOOKUP($A18,'Data cleaned'!$A$2:$G$40,6,FALSE)</f>
        <v>M</v>
      </c>
      <c r="G18">
        <f>VLOOKUP(A18,'Data cleaned'!$A$2:$G$40,7,FALSE)</f>
        <v>24</v>
      </c>
    </row>
    <row r="19" spans="1:7" x14ac:dyDescent="0.3">
      <c r="A19" s="5" t="s">
        <v>75</v>
      </c>
      <c r="B19" t="str">
        <f>VLOOKUP($A19,'Data cleaned'!$A$2:$G$40,2,FALSE)</f>
        <v>Kumar</v>
      </c>
      <c r="C19" t="str">
        <f>VLOOKUP($A19,'Data cleaned'!$A$2:G57,3,FALSE)</f>
        <v>Arts</v>
      </c>
      <c r="D19">
        <f>VLOOKUP($A19,'Data cleaned'!$A$2:$G$40,4,FALSE)</f>
        <v>74</v>
      </c>
      <c r="E19">
        <f>VLOOKUP($A19,'Data cleaned'!$A$2:$G$40,5,FALSE)</f>
        <v>71</v>
      </c>
      <c r="F19" t="str">
        <f>VLOOKUP($A19,'Data cleaned'!$A$2:$G$40,6,FALSE)</f>
        <v>M</v>
      </c>
      <c r="G19">
        <f>VLOOKUP(A19,'Data cleaned'!$A$2:$G$40,7,FALSE)</f>
        <v>23</v>
      </c>
    </row>
    <row r="20" spans="1:7" x14ac:dyDescent="0.3">
      <c r="A20" s="4" t="s">
        <v>77</v>
      </c>
      <c r="B20" t="str">
        <f>VLOOKUP($A20,'Data cleaned'!$A$2:$G$40,2,FALSE)</f>
        <v>Devi</v>
      </c>
      <c r="C20" t="str">
        <f>VLOOKUP($A20,'Data cleaned'!$A$2:G58,3,FALSE)</f>
        <v>Science</v>
      </c>
      <c r="D20">
        <f>VLOOKUP($A20,'Data cleaned'!$A$2:$G$40,4,FALSE)</f>
        <v>65.722222222222229</v>
      </c>
      <c r="E20">
        <f>VLOOKUP($A20,'Data cleaned'!$A$2:$G$40,5,FALSE)</f>
        <v>62</v>
      </c>
      <c r="F20" t="str">
        <f>VLOOKUP($A20,'Data cleaned'!$A$2:$G$40,6,FALSE)</f>
        <v>F</v>
      </c>
      <c r="G20">
        <f>VLOOKUP(A20,'Data cleaned'!$A$2:$G$40,7,FALSE)</f>
        <v>21</v>
      </c>
    </row>
    <row r="21" spans="1:7" x14ac:dyDescent="0.3">
      <c r="A21" s="5" t="s">
        <v>79</v>
      </c>
      <c r="B21" t="str">
        <f>VLOOKUP($A21,'Data cleaned'!$A$2:$G$40,2,FALSE)</f>
        <v>Arasu</v>
      </c>
      <c r="C21" t="str">
        <f>VLOOKUP($A21,'Data cleaned'!$A$2:G59,3,FALSE)</f>
        <v>Commerce</v>
      </c>
      <c r="D21">
        <f>VLOOKUP($A21,'Data cleaned'!$A$2:$G$40,4,FALSE)</f>
        <v>53</v>
      </c>
      <c r="E21">
        <f>VLOOKUP($A21,'Data cleaned'!$A$2:$G$40,5,FALSE)</f>
        <v>100</v>
      </c>
      <c r="F21" t="str">
        <f>VLOOKUP($A21,'Data cleaned'!$A$2:$G$40,6,FALSE)</f>
        <v>M</v>
      </c>
      <c r="G21">
        <f>VLOOKUP(A21,'Data cleaned'!$A$2:$G$40,7,FALSE)</f>
        <v>25</v>
      </c>
    </row>
    <row r="22" spans="1:7" x14ac:dyDescent="0.3">
      <c r="A22" s="4" t="s">
        <v>72</v>
      </c>
      <c r="B22" t="str">
        <f>VLOOKUP($A22,'Data cleaned'!$A$2:$G$40,2,FALSE)</f>
        <v>Raja</v>
      </c>
      <c r="C22" t="str">
        <f>VLOOKUP($A22,'Data cleaned'!$A$2:G60,3,FALSE)</f>
        <v>Science</v>
      </c>
      <c r="D22">
        <f>VLOOKUP($A22,'Data cleaned'!$A$2:$G$40,4,FALSE)</f>
        <v>55</v>
      </c>
      <c r="E22">
        <f>VLOOKUP($A22,'Data cleaned'!$A$2:$G$40,5,FALSE)</f>
        <v>96</v>
      </c>
      <c r="F22" t="str">
        <f>VLOOKUP($A22,'Data cleaned'!$A$2:$G$40,6,FALSE)</f>
        <v>M</v>
      </c>
      <c r="G22">
        <f>VLOOKUP(A22,'Data cleaned'!$A$2:$G$40,7,FALSE)</f>
        <v>24</v>
      </c>
    </row>
    <row r="23" spans="1:7" x14ac:dyDescent="0.3">
      <c r="A23" s="5" t="s">
        <v>82</v>
      </c>
      <c r="B23" t="str">
        <f>VLOOKUP($A23,'Data cleaned'!$A$2:$G$40,2,FALSE)</f>
        <v>Bala</v>
      </c>
      <c r="C23" t="str">
        <f>VLOOKUP($A23,'Data cleaned'!$A$2:G61,3,FALSE)</f>
        <v>Science</v>
      </c>
      <c r="D23">
        <f>VLOOKUP($A23,'Data cleaned'!$A$2:$G$40,4,FALSE)</f>
        <v>80</v>
      </c>
      <c r="E23">
        <f>VLOOKUP($A23,'Data cleaned'!$A$2:$G$40,5,FALSE)</f>
        <v>67</v>
      </c>
      <c r="F23" t="str">
        <f>VLOOKUP($A23,'Data cleaned'!$A$2:$G$40,6,FALSE)</f>
        <v>M</v>
      </c>
      <c r="G23">
        <f>VLOOKUP(A23,'Data cleaned'!$A$2:$G$40,7,FALSE)</f>
        <v>26</v>
      </c>
    </row>
    <row r="24" spans="1:7" x14ac:dyDescent="0.3">
      <c r="A24" s="4" t="s">
        <v>85</v>
      </c>
      <c r="B24" t="str">
        <f>VLOOKUP($A24,'Data cleaned'!$A$2:$G$40,2,FALSE)</f>
        <v>Gokul</v>
      </c>
      <c r="C24" t="str">
        <f>VLOOKUP($A24,'Data cleaned'!$A$2:G62,3,FALSE)</f>
        <v>Arts</v>
      </c>
      <c r="D24">
        <f>VLOOKUP($A24,'Data cleaned'!$A$2:$G$40,4,FALSE)</f>
        <v>62</v>
      </c>
      <c r="E24">
        <f>VLOOKUP($A24,'Data cleaned'!$A$2:$G$40,5,FALSE)</f>
        <v>83</v>
      </c>
      <c r="F24" t="str">
        <f>VLOOKUP($A24,'Data cleaned'!$A$2:$G$40,6,FALSE)</f>
        <v>M</v>
      </c>
      <c r="G24">
        <f>VLOOKUP(A24,'Data cleaned'!$A$2:$G$40,7,FALSE)</f>
        <v>23</v>
      </c>
    </row>
    <row r="25" spans="1:7" x14ac:dyDescent="0.3">
      <c r="A25" s="5" t="s">
        <v>88</v>
      </c>
      <c r="B25" t="str">
        <f>VLOOKUP($A25,'Data cleaned'!$A$2:$G$40,2,FALSE)</f>
        <v>divya</v>
      </c>
      <c r="C25" t="str">
        <f>VLOOKUP($A25,'Data cleaned'!$A$2:G63,3,FALSE)</f>
        <v>Arts</v>
      </c>
      <c r="D25">
        <f>VLOOKUP($A25,'Data cleaned'!$A$2:$G$40,4,FALSE)</f>
        <v>98</v>
      </c>
      <c r="E25">
        <f>VLOOKUP($A25,'Data cleaned'!$A$2:$G$40,5,FALSE)</f>
        <v>92</v>
      </c>
      <c r="F25" t="str">
        <f>VLOOKUP($A25,'Data cleaned'!$A$2:$G$40,6,FALSE)</f>
        <v>F</v>
      </c>
      <c r="G25">
        <f>VLOOKUP(A25,'Data cleaned'!$A$2:$G$40,7,FALSE)</f>
        <v>24</v>
      </c>
    </row>
    <row r="26" spans="1:7" x14ac:dyDescent="0.3">
      <c r="A26" s="4" t="s">
        <v>92</v>
      </c>
      <c r="B26" t="str">
        <f>VLOOKUP($A26,'Data cleaned'!$A$2:$G$40,2,FALSE)</f>
        <v>Yamuna</v>
      </c>
      <c r="C26" t="str">
        <f>VLOOKUP($A26,'Data cleaned'!$A$2:G64,3,FALSE)</f>
        <v>Arts</v>
      </c>
      <c r="D26">
        <f>VLOOKUP($A26,'Data cleaned'!$A$2:$G$40,4,FALSE)</f>
        <v>41</v>
      </c>
      <c r="E26">
        <f>VLOOKUP($A26,'Data cleaned'!$A$2:$G$40,5,FALSE)</f>
        <v>62</v>
      </c>
      <c r="F26" t="str">
        <f>VLOOKUP($A26,'Data cleaned'!$A$2:$G$40,6,FALSE)</f>
        <v>F</v>
      </c>
      <c r="G26">
        <f>VLOOKUP(A26,'Data cleaned'!$A$2:$G$40,7,FALSE)</f>
        <v>28</v>
      </c>
    </row>
    <row r="27" spans="1:7" x14ac:dyDescent="0.3">
      <c r="A27" s="5" t="s">
        <v>95</v>
      </c>
      <c r="B27" t="str">
        <f>VLOOKUP($A27,'Data cleaned'!$A$2:$G$40,2,FALSE)</f>
        <v>Nila</v>
      </c>
      <c r="C27" t="str">
        <f>VLOOKUP($A27,'Data cleaned'!$A$2:G65,3,FALSE)</f>
        <v>Science</v>
      </c>
      <c r="D27">
        <f>VLOOKUP($A27,'Data cleaned'!$A$2:$G$40,4,FALSE)</f>
        <v>37</v>
      </c>
      <c r="E27">
        <f>VLOOKUP($A27,'Data cleaned'!$A$2:$G$40,5,FALSE)</f>
        <v>73</v>
      </c>
      <c r="F27" t="str">
        <f>VLOOKUP($A27,'Data cleaned'!$A$2:$G$40,6,FALSE)</f>
        <v>F</v>
      </c>
      <c r="G27">
        <f>VLOOKUP(A27,'Data cleaned'!$A$2:$G$40,7,FALSE)</f>
        <v>25</v>
      </c>
    </row>
    <row r="28" spans="1:7" x14ac:dyDescent="0.3">
      <c r="A28" s="4" t="s">
        <v>99</v>
      </c>
      <c r="B28" t="str">
        <f>VLOOKUP($A28,'Data cleaned'!$A$2:$G$40,2,FALSE)</f>
        <v>Ramu</v>
      </c>
      <c r="C28" t="str">
        <f>VLOOKUP($A28,'Data cleaned'!$A$2:G66,3,FALSE)</f>
        <v>Commerce</v>
      </c>
      <c r="D28">
        <f>VLOOKUP($A28,'Data cleaned'!$A$2:$G$40,4,FALSE)</f>
        <v>76</v>
      </c>
      <c r="E28">
        <f>VLOOKUP($A28,'Data cleaned'!$A$2:$G$40,5,FALSE)</f>
        <v>80</v>
      </c>
      <c r="F28" t="str">
        <f>VLOOKUP($A28,'Data cleaned'!$A$2:$G$40,6,FALSE)</f>
        <v>M</v>
      </c>
      <c r="G28">
        <f>VLOOKUP(A28,'Data cleaned'!$A$2:$G$40,7,FALSE)</f>
        <v>27</v>
      </c>
    </row>
    <row r="29" spans="1:7" x14ac:dyDescent="0.3">
      <c r="A29" s="5" t="s">
        <v>72</v>
      </c>
      <c r="B29" t="str">
        <f>VLOOKUP($A29,'Data cleaned'!$A$2:$G$40,2,FALSE)</f>
        <v>Raja</v>
      </c>
      <c r="C29" t="str">
        <f>VLOOKUP($A29,'Data cleaned'!$A$2:G67,3,FALSE)</f>
        <v>Science</v>
      </c>
      <c r="D29">
        <f>VLOOKUP($A29,'Data cleaned'!$A$2:$G$40,4,FALSE)</f>
        <v>55</v>
      </c>
      <c r="E29">
        <f>VLOOKUP($A29,'Data cleaned'!$A$2:$G$40,5,FALSE)</f>
        <v>96</v>
      </c>
      <c r="F29" t="str">
        <f>VLOOKUP($A29,'Data cleaned'!$A$2:$G$40,6,FALSE)</f>
        <v>M</v>
      </c>
      <c r="G29">
        <f>VLOOKUP(A29,'Data cleaned'!$A$2:$G$40,7,FALSE)</f>
        <v>24</v>
      </c>
    </row>
    <row r="30" spans="1:7" x14ac:dyDescent="0.3">
      <c r="A30" s="4" t="s">
        <v>103</v>
      </c>
      <c r="B30" t="str">
        <f>VLOOKUP($A30,'Data cleaned'!$A$2:$G$40,2,FALSE)</f>
        <v>Banu</v>
      </c>
      <c r="C30" t="str">
        <f>VLOOKUP($A30,'Data cleaned'!$A$2:G68,3,FALSE)</f>
        <v>Commerce</v>
      </c>
      <c r="D30">
        <f>VLOOKUP($A30,'Data cleaned'!$A$2:$G$40,4,FALSE)</f>
        <v>71</v>
      </c>
      <c r="E30">
        <f>VLOOKUP($A30,'Data cleaned'!$A$2:$G$40,5,FALSE)</f>
        <v>84</v>
      </c>
      <c r="F30" t="str">
        <f>VLOOKUP($A30,'Data cleaned'!$A$2:$G$40,6,FALSE)</f>
        <v>F</v>
      </c>
      <c r="G30">
        <f>VLOOKUP(A30,'Data cleaned'!$A$2:$G$40,7,FALSE)</f>
        <v>26</v>
      </c>
    </row>
    <row r="31" spans="1:7" x14ac:dyDescent="0.3">
      <c r="A31" s="5" t="s">
        <v>106</v>
      </c>
      <c r="B31" t="str">
        <f>VLOOKUP($A31,'Data cleaned'!$A$2:$G$40,2,FALSE)</f>
        <v>Kani</v>
      </c>
      <c r="C31" t="str">
        <f>VLOOKUP($A31,'Data cleaned'!$A$2:G69,3,FALSE)</f>
        <v>Commerce</v>
      </c>
      <c r="D31">
        <f>VLOOKUP($A31,'Data cleaned'!$A$2:$G$40,4,FALSE)</f>
        <v>65.722222222222229</v>
      </c>
      <c r="E31">
        <f>VLOOKUP($A31,'Data cleaned'!$A$2:$G$40,5,FALSE)</f>
        <v>65</v>
      </c>
      <c r="F31" t="str">
        <f>VLOOKUP($A31,'Data cleaned'!$A$2:$G$40,6,FALSE)</f>
        <v>M</v>
      </c>
      <c r="G31">
        <f>VLOOKUP(A31,'Data cleaned'!$A$2:$G$40,7,FALSE)</f>
        <v>23</v>
      </c>
    </row>
    <row r="32" spans="1:7" x14ac:dyDescent="0.3">
      <c r="A32" s="4" t="s">
        <v>109</v>
      </c>
      <c r="B32" t="str">
        <f>VLOOKUP($A32,'Data cleaned'!$A$2:$G$40,2,FALSE)</f>
        <v>Selvam</v>
      </c>
      <c r="C32" t="str">
        <f>VLOOKUP($A32,'Data cleaned'!$A$2:G70,3,FALSE)</f>
        <v>Arts</v>
      </c>
      <c r="D32">
        <f>VLOOKUP($A32,'Data cleaned'!$A$2:$G$40,4,FALSE)</f>
        <v>54</v>
      </c>
      <c r="E32">
        <f>VLOOKUP($A32,'Data cleaned'!$A$2:$G$40,5,FALSE)</f>
        <v>99</v>
      </c>
      <c r="F32" t="str">
        <f>VLOOKUP($A32,'Data cleaned'!$A$2:$G$40,6,FALSE)</f>
        <v>M</v>
      </c>
      <c r="G32">
        <f>VLOOKUP(A32,'Data cleaned'!$A$2:$G$40,7,FALSE)</f>
        <v>28</v>
      </c>
    </row>
    <row r="33" spans="1:7" x14ac:dyDescent="0.3">
      <c r="A33" s="5" t="s">
        <v>113</v>
      </c>
      <c r="B33" t="str">
        <f>VLOOKUP($A33,'Data cleaned'!$A$2:$G$40,2,FALSE)</f>
        <v>Ramu</v>
      </c>
      <c r="C33" t="str">
        <f>VLOOKUP($A33,'Data cleaned'!$A$2:G71,3,FALSE)</f>
        <v>Commerce</v>
      </c>
      <c r="D33">
        <f>VLOOKUP($A33,'Data cleaned'!$A$2:$G$40,4,FALSE)</f>
        <v>76</v>
      </c>
      <c r="E33">
        <f>VLOOKUP($A33,'Data cleaned'!$A$2:$G$40,5,FALSE)</f>
        <v>80</v>
      </c>
      <c r="F33" t="str">
        <f>VLOOKUP($A33,'Data cleaned'!$A$2:$G$40,6,FALSE)</f>
        <v>M</v>
      </c>
      <c r="G33">
        <f>VLOOKUP(A33,'Data cleaned'!$A$2:$G$40,7,FALSE)</f>
        <v>27</v>
      </c>
    </row>
    <row r="34" spans="1:7" x14ac:dyDescent="0.3">
      <c r="A34" s="4" t="s">
        <v>114</v>
      </c>
      <c r="B34" t="str">
        <f>VLOOKUP($A34,'Data cleaned'!$A$2:$G$40,2,FALSE)</f>
        <v>Devi</v>
      </c>
      <c r="C34" t="str">
        <f>VLOOKUP($A34,'Data cleaned'!$A$2:G72,3,FALSE)</f>
        <v>Science</v>
      </c>
      <c r="D34">
        <f>VLOOKUP($A34,'Data cleaned'!$A$2:$G$40,4,FALSE)</f>
        <v>90</v>
      </c>
      <c r="E34">
        <f>VLOOKUP($A34,'Data cleaned'!$A$2:$G$40,5,FALSE)</f>
        <v>66</v>
      </c>
      <c r="F34" t="str">
        <f>VLOOKUP($A34,'Data cleaned'!$A$2:$G$40,6,FALSE)</f>
        <v>F</v>
      </c>
      <c r="G34">
        <f>VLOOKUP(A34,'Data cleaned'!$A$2:$G$40,7,FALSE)</f>
        <v>22</v>
      </c>
    </row>
    <row r="35" spans="1:7" x14ac:dyDescent="0.3">
      <c r="A35" s="5" t="s">
        <v>116</v>
      </c>
      <c r="B35" t="str">
        <f>VLOOKUP($A35,'Data cleaned'!$A$2:$G$40,2,FALSE)</f>
        <v>Nithya</v>
      </c>
      <c r="C35" t="str">
        <f>VLOOKUP($A35,'Data cleaned'!$A$2:G73,3,FALSE)</f>
        <v>Arts</v>
      </c>
      <c r="D35">
        <f>VLOOKUP($A35,'Data cleaned'!$A$2:$G$40,4,FALSE)</f>
        <v>80</v>
      </c>
      <c r="E35">
        <f>VLOOKUP($A35,'Data cleaned'!$A$2:$G$40,5,FALSE)</f>
        <v>91</v>
      </c>
      <c r="F35" t="str">
        <f>VLOOKUP($A35,'Data cleaned'!$A$2:$G$40,6,FALSE)</f>
        <v>F</v>
      </c>
      <c r="G35">
        <f>VLOOKUP(A35,'Data cleaned'!$A$2:$G$40,7,FALSE)</f>
        <v>29</v>
      </c>
    </row>
    <row r="36" spans="1:7" x14ac:dyDescent="0.3">
      <c r="A36" s="4" t="s">
        <v>119</v>
      </c>
      <c r="B36" t="str">
        <f>VLOOKUP($A36,'Data cleaned'!$A$2:$G$40,2,FALSE)</f>
        <v>Uma</v>
      </c>
      <c r="C36" t="str">
        <f>VLOOKUP($A36,'Data cleaned'!$A$2:G74,3,FALSE)</f>
        <v>Science</v>
      </c>
      <c r="D36">
        <f>VLOOKUP($A36,'Data cleaned'!$A$2:$G$40,4,FALSE)</f>
        <v>57</v>
      </c>
      <c r="E36">
        <f>VLOOKUP($A36,'Data cleaned'!$A$2:$G$40,5,FALSE)</f>
        <v>72</v>
      </c>
      <c r="F36" t="str">
        <f>VLOOKUP($A36,'Data cleaned'!$A$2:$G$40,6,FALSE)</f>
        <v>F</v>
      </c>
      <c r="G36">
        <f>VLOOKUP(A36,'Data cleaned'!$A$2:$G$40,7,FALSE)</f>
        <v>23</v>
      </c>
    </row>
    <row r="37" spans="1:7" x14ac:dyDescent="0.3">
      <c r="A37" s="5" t="s">
        <v>122</v>
      </c>
      <c r="B37" t="str">
        <f>VLOOKUP($A37,'Data cleaned'!$A$2:$G$40,2,FALSE)</f>
        <v>Guru</v>
      </c>
      <c r="C37" t="str">
        <f>VLOOKUP($A37,'Data cleaned'!$A$2:G75,3,FALSE)</f>
        <v>Science</v>
      </c>
      <c r="D37">
        <f>VLOOKUP($A37,'Data cleaned'!$A$2:$G$40,4,FALSE)</f>
        <v>92</v>
      </c>
      <c r="E37">
        <f>VLOOKUP($A37,'Data cleaned'!$A$2:$G$40,5,FALSE)</f>
        <v>87</v>
      </c>
      <c r="F37" t="str">
        <f>VLOOKUP($A37,'Data cleaned'!$A$2:$G$40,6,FALSE)</f>
        <v>M</v>
      </c>
      <c r="G37">
        <f>VLOOKUP(A37,'Data cleaned'!$A$2:$G$40,7,FALSE)</f>
        <v>25</v>
      </c>
    </row>
    <row r="38" spans="1:7" x14ac:dyDescent="0.3">
      <c r="A38" s="4" t="s">
        <v>125</v>
      </c>
      <c r="B38" t="str">
        <f>VLOOKUP($A38,'Data cleaned'!$A$2:$G$40,2,FALSE)</f>
        <v>Vignesh</v>
      </c>
      <c r="C38" t="str">
        <f>VLOOKUP($A38,'Data cleaned'!$A$2:G76,3,FALSE)</f>
        <v>Arts</v>
      </c>
      <c r="D38">
        <f>VLOOKUP($A38,'Data cleaned'!$A$2:$G$40,4,FALSE)</f>
        <v>52</v>
      </c>
      <c r="E38">
        <f>VLOOKUP($A38,'Data cleaned'!$A$2:$G$40,5,FALSE)</f>
        <v>84</v>
      </c>
      <c r="F38" t="str">
        <f>VLOOKUP($A38,'Data cleaned'!$A$2:$G$40,6,FALSE)</f>
        <v>M</v>
      </c>
      <c r="G38">
        <f>VLOOKUP(A38,'Data cleaned'!$A$2:$G$40,7,FALSE)</f>
        <v>22</v>
      </c>
    </row>
    <row r="39" spans="1:7" x14ac:dyDescent="0.3">
      <c r="A39" s="5" t="s">
        <v>128</v>
      </c>
      <c r="B39" t="str">
        <f>VLOOKUP($A39,'Data cleaned'!$A$2:$G$40,2,FALSE)</f>
        <v>kani</v>
      </c>
      <c r="C39" t="str">
        <f>VLOOKUP($A39,'Data cleaned'!$A$2:G77,3,FALSE)</f>
        <v>Commerce</v>
      </c>
      <c r="D39">
        <f>VLOOKUP($A39,'Data cleaned'!$A$2:$G$40,4,FALSE)</f>
        <v>53</v>
      </c>
      <c r="E39">
        <f>VLOOKUP($A39,'Data cleaned'!$A$2:$G$40,5,FALSE)</f>
        <v>65</v>
      </c>
      <c r="F39" t="str">
        <f>VLOOKUP($A39,'Data cleaned'!$A$2:$G$40,6,FALSE)</f>
        <v>M</v>
      </c>
      <c r="G39">
        <f>VLOOKUP(A39,'Data cleaned'!$A$2:$G$40,7,FALSE)</f>
        <v>23</v>
      </c>
    </row>
    <row r="40" spans="1:7" x14ac:dyDescent="0.3">
      <c r="A40" s="4" t="s">
        <v>130</v>
      </c>
      <c r="B40" t="str">
        <f>VLOOKUP($A40,'Data cleaned'!$A$2:$G$40,2,FALSE)</f>
        <v>Prakash</v>
      </c>
      <c r="C40" t="str">
        <f>VLOOKUP($A40,'Data cleaned'!$A$2:G78,3,FALSE)</f>
        <v>Commerce</v>
      </c>
      <c r="D40">
        <f>VLOOKUP($A40,'Data cleaned'!$A$2:$G$40,4,FALSE)</f>
        <v>97</v>
      </c>
      <c r="E40">
        <f>VLOOKUP($A40,'Data cleaned'!$A$2:$G$40,5,FALSE)</f>
        <v>88</v>
      </c>
      <c r="F40" t="str">
        <f>VLOOKUP($A40,'Data cleaned'!$A$2:$G$40,6,FALSE)</f>
        <v>M</v>
      </c>
      <c r="G40">
        <f>VLOOKUP(A40,'Data cleaned'!$A$2:$G$40,7,FALSE)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 cleaning</vt:lpstr>
      <vt:lpstr>Data cleaned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2025-11-18T19:53:53Z</dcterms:created>
  <dcterms:modified xsi:type="dcterms:W3CDTF">2025-12-13T11:09:46Z</dcterms:modified>
</cp:coreProperties>
</file>