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DAILY TASK\EXCEL\WEEK 1\"/>
    </mc:Choice>
  </mc:AlternateContent>
  <xr:revisionPtr revIDLastSave="0" documentId="13_ncr:1_{271D7049-B356-4869-8B1D-79A8DE30556E}" xr6:coauthVersionLast="47" xr6:coauthVersionMax="47" xr10:uidLastSave="{00000000-0000-0000-0000-000000000000}"/>
  <bookViews>
    <workbookView xWindow="-108" yWindow="-108" windowWidth="23256" windowHeight="12456" activeTab="1" xr2:uid="{13769CC8-790C-40B0-96CA-49EEA750532F}"/>
  </bookViews>
  <sheets>
    <sheet name="Sheet1" sheetId="1" r:id="rId1"/>
    <sheet name="Data cleane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2" i="3"/>
  <c r="M2" i="3"/>
  <c r="M3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3" i="3"/>
  <c r="S4" i="3"/>
  <c r="S5" i="3"/>
  <c r="S6" i="3"/>
  <c r="S7" i="3"/>
  <c r="S2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4" i="3"/>
  <c r="M5" i="3"/>
  <c r="M6" i="3"/>
  <c r="M7" i="3"/>
  <c r="AA10" i="3"/>
  <c r="AA9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2" i="3"/>
</calcChain>
</file>

<file path=xl/sharedStrings.xml><?xml version="1.0" encoding="utf-8"?>
<sst xmlns="http://schemas.openxmlformats.org/spreadsheetml/2006/main" count="1452" uniqueCount="290">
  <si>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</si>
  <si>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</si>
  <si>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</si>
  <si>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</si>
  <si>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</si>
  <si>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</si>
  <si>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</si>
  <si>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</si>
  <si>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</si>
  <si>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</si>
  <si>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</si>
  <si>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</si>
  <si>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</si>
  <si>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</si>
  <si>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</si>
  <si>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</si>
  <si>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</si>
  <si>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</si>
  <si>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Accessories</t>
  </si>
  <si>
    <t>Medium</t>
  </si>
  <si>
    <t>ES-2014-KM1637548-41667</t>
  </si>
  <si>
    <t>Katherine Murray</t>
  </si>
  <si>
    <t>Germany</t>
  </si>
  <si>
    <t>Chairs</t>
  </si>
  <si>
    <t>Rick Hansen</t>
  </si>
  <si>
    <t>Western Africa</t>
  </si>
  <si>
    <t>Phones</t>
  </si>
  <si>
    <t>Critical</t>
  </si>
  <si>
    <t>IN-2014-JM156557-41818</t>
  </si>
  <si>
    <t>Jim Mitchum</t>
  </si>
  <si>
    <t>Toby Swindell</t>
  </si>
  <si>
    <t>New Zealand</t>
  </si>
  <si>
    <t>Furniture</t>
  </si>
  <si>
    <t>Copiers</t>
  </si>
  <si>
    <t>IN-2013-MB1808592-41378</t>
  </si>
  <si>
    <t>Mick Brown</t>
  </si>
  <si>
    <t>6.0#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</si>
  <si>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</si>
  <si>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</si>
  <si>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</si>
  <si>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</si>
  <si>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</si>
  <si>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</si>
  <si>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</si>
  <si>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Tables</t>
  </si>
  <si>
    <t>Office Supplies</t>
  </si>
  <si>
    <t>Binders</t>
  </si>
  <si>
    <t>17.94#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</si>
  <si>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</si>
  <si>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</si>
  <si>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</si>
  <si>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</si>
  <si>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</si>
  <si>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</si>
  <si>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</si>
  <si>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</si>
  <si>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</si>
  <si>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Supplies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</si>
  <si>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</si>
  <si>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</si>
  <si>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</si>
  <si>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</si>
  <si>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</si>
  <si>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</si>
  <si>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</si>
  <si>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</si>
  <si>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</si>
  <si>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</si>
  <si>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</si>
  <si>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</si>
  <si>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</si>
  <si>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</si>
  <si>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</si>
  <si>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Appliances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</si>
  <si>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</si>
  <si>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</si>
  <si>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</si>
  <si>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</si>
  <si>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</si>
  <si>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</si>
  <si>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</si>
  <si>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</si>
  <si>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</si>
  <si>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</si>
  <si>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</si>
  <si>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</si>
  <si>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</si>
  <si>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</si>
  <si>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</si>
  <si>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</si>
  <si>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</si>
  <si>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</si>
  <si>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</si>
  <si>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</si>
  <si>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</si>
  <si>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</si>
  <si>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</si>
  <si>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</si>
  <si>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</si>
  <si>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</si>
  <si>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</si>
  <si>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</si>
  <si>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</si>
  <si>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</si>
  <si>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</si>
  <si>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</si>
  <si>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</si>
  <si>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</si>
  <si>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</si>
  <si>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</si>
  <si>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</si>
  <si>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</si>
  <si>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</si>
  <si>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</si>
  <si>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</si>
  <si>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</si>
  <si>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</si>
  <si>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</si>
  <si>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</si>
  <si>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</si>
  <si>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</si>
  <si>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</si>
  <si>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</si>
  <si>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</si>
  <si>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</si>
  <si>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</si>
  <si>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</si>
  <si>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Machines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</si>
  <si>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</si>
  <si>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</si>
  <si>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</si>
  <si>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</si>
  <si>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</si>
  <si>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</si>
  <si>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</si>
  <si>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</si>
  <si>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</si>
  <si>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</si>
  <si>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</si>
  <si>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</si>
  <si>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</si>
  <si>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</si>
  <si>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</si>
  <si>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</si>
  <si>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</si>
  <si>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</si>
  <si>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</si>
  <si>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</si>
  <si>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</si>
  <si>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</si>
  <si>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</si>
  <si>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Bookcases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</si>
  <si>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</si>
  <si>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</si>
  <si>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</si>
  <si>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</si>
  <si>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</si>
  <si>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</si>
  <si>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</si>
  <si>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</si>
  <si>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</si>
  <si>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</si>
  <si>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</si>
  <si>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missing</t>
  </si>
  <si>
    <t>US-2012-AH10030140-41206</t>
  </si>
  <si>
    <t>Office_Supplies</t>
  </si>
  <si>
    <t>IR-2015-TG1164060-42265</t>
  </si>
  <si>
    <t>Trudy Glocke</t>
  </si>
  <si>
    <t>Iran</t>
  </si>
  <si>
    <t>SOUTHERN ASIA</t>
  </si>
  <si>
    <t xml:space="preserve"> 2012-12-16 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</si>
  <si>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</si>
  <si>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</si>
  <si>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</si>
  <si>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</si>
  <si>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</si>
  <si>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</si>
  <si>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</si>
  <si>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</si>
  <si>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</si>
  <si>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</si>
  <si>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</si>
  <si>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</si>
  <si>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</si>
  <si>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</si>
  <si>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</si>
  <si>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</si>
  <si>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</si>
  <si>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</si>
  <si>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</si>
  <si>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</si>
  <si>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</si>
  <si>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</si>
  <si>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</si>
  <si>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</si>
  <si>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</si>
  <si>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</si>
  <si>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</si>
  <si>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</si>
  <si>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</si>
  <si>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</si>
  <si>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</si>
  <si>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</si>
  <si>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</si>
  <si>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</si>
  <si>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</si>
  <si>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</si>
  <si>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</si>
  <si>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</si>
  <si>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</si>
  <si>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</si>
  <si>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</si>
  <si>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121.94000000000001unknown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</si>
  <si>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</si>
  <si>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</si>
  <si>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</si>
  <si>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</si>
  <si>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</si>
  <si>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</si>
  <si>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</si>
  <si>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</si>
  <si>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</si>
  <si>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</si>
  <si>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</si>
  <si>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</si>
  <si>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</si>
  <si>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</si>
  <si>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</si>
  <si>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</si>
  <si>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</si>
  <si>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</si>
  <si>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</si>
  <si>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</si>
  <si>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</si>
  <si>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</si>
  <si>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</si>
  <si>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</si>
  <si>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</si>
  <si>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</si>
  <si>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</si>
  <si>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</si>
  <si>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</si>
  <si>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</si>
  <si>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</si>
  <si>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</si>
  <si>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</si>
  <si>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</si>
  <si>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</si>
  <si>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</si>
  <si>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</si>
  <si>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</si>
  <si>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</si>
  <si>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</si>
  <si>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</si>
  <si>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</si>
  <si>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</si>
  <si>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</si>
  <si>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</si>
  <si>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</si>
  <si>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</si>
  <si>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</si>
  <si>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</si>
  <si>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</si>
  <si>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</si>
  <si>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</si>
  <si>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TASK 6:</t>
  </si>
  <si>
    <t>1.Add drop down list using category column</t>
  </si>
  <si>
    <t>select range for choose category column</t>
  </si>
  <si>
    <t>then go for Data tab and Data</t>
  </si>
  <si>
    <t>validation ribbon add list</t>
  </si>
  <si>
    <t xml:space="preserve">2.Dataset have No duplicates </t>
  </si>
  <si>
    <t>Choose Category</t>
  </si>
  <si>
    <t>Choose category</t>
  </si>
  <si>
    <t>Country Missing</t>
  </si>
  <si>
    <t>Customer Missing</t>
  </si>
  <si>
    <t>3.COUNTBLANK for customer name</t>
  </si>
  <si>
    <t>COUNTBLANK  for country column</t>
  </si>
  <si>
    <t>NO ID</t>
  </si>
  <si>
    <t>17-10+B2:C88-2014  00:00:00</t>
  </si>
  <si>
    <t>NO DATE</t>
  </si>
  <si>
    <t>None</t>
  </si>
  <si>
    <t>Sales missing</t>
  </si>
  <si>
    <t>NULL</t>
  </si>
  <si>
    <t>Order priority missing</t>
  </si>
  <si>
    <t>Null</t>
  </si>
  <si>
    <t xml:space="preserve">4.Order id have blank cells so I select </t>
  </si>
  <si>
    <t>cell press F5 click blank then type NO ID</t>
  </si>
  <si>
    <t xml:space="preserve">5.Sales impute column using </t>
  </si>
  <si>
    <t>IF AND ISBLANK,AVERAGE of sales column</t>
  </si>
  <si>
    <t>Profit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</si>
</sst>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5" tint="0.39997558519241921"/>
      </top>
      <bottom style="thin">
        <color theme="4" tint="0.39997558519241921"/>
      </bottom>
      <diagonal/>
    </border>
    <border>
      <left style="thin">
        <color theme="5" tint="0.39997558519241921"/>
      </left>
      <right/>
      <top style="thin">
        <color theme="4" tint="0.39997558519241921"/>
      </top>
      <bottom/>
      <diagonal/>
    </border>
    <border>
      <left style="thin">
        <color theme="5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0" fillId="34" borderId="10" xfId="0" applyFont="1" applyFill="1" applyBorder="1"/>
    <xf numFmtId="0" fontId="0" fillId="36" borderId="0" xfId="0" applyFill="1"/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/>
    <xf numFmtId="0" fontId="13" fillId="36" borderId="14" xfId="0" applyFont="1" applyFill="1" applyBorder="1"/>
    <xf numFmtId="0" fontId="0" fillId="35" borderId="13" xfId="0" applyFont="1" applyFill="1" applyBorder="1"/>
    <xf numFmtId="0" fontId="0" fillId="35" borderId="14" xfId="0" applyFont="1" applyFill="1" applyBorder="1"/>
    <xf numFmtId="0" fontId="0" fillId="0" borderId="13" xfId="0" applyFont="1" applyBorder="1"/>
    <xf numFmtId="0" fontId="0" fillId="0" borderId="14" xfId="0" applyFont="1" applyBorder="1"/>
    <xf numFmtId="0" fontId="0" fillId="35" borderId="11" xfId="0" applyFont="1" applyFill="1" applyBorder="1"/>
    <xf numFmtId="0" fontId="0" fillId="35" borderId="12" xfId="0" applyFont="1" applyFill="1" applyBorder="1"/>
    <xf numFmtId="0" fontId="13" fillId="33" borderId="15" xfId="0" applyFont="1" applyFill="1" applyBorder="1"/>
    <xf numFmtId="0" fontId="0" fillId="34" borderId="15" xfId="0" applyFont="1" applyFill="1" applyBorder="1"/>
    <xf numFmtId="0" fontId="0" fillId="0" borderId="15" xfId="0" applyFont="1" applyBorder="1"/>
    <xf numFmtId="0" fontId="18" fillId="37" borderId="13" xfId="0" applyFont="1" applyFill="1" applyBorder="1"/>
    <xf numFmtId="0" fontId="18" fillId="37" borderId="14" xfId="0" applyFont="1" applyFill="1" applyBorder="1"/>
    <xf numFmtId="22" fontId="0" fillId="35" borderId="14" xfId="0" applyNumberFormat="1" applyFont="1" applyFill="1" applyBorder="1"/>
    <xf numFmtId="22" fontId="0" fillId="0" borderId="14" xfId="0" applyNumberFormat="1" applyFont="1" applyBorder="1"/>
    <xf numFmtId="14" fontId="0" fillId="0" borderId="14" xfId="0" applyNumberFormat="1" applyFont="1" applyBorder="1"/>
    <xf numFmtId="22" fontId="0" fillId="35" borderId="12" xfId="0" applyNumberFormat="1" applyFont="1" applyFill="1" applyBorder="1"/>
    <xf numFmtId="2" fontId="0" fillId="35" borderId="14" xfId="0" applyNumberFormat="1" applyFont="1" applyFill="1" applyBorder="1" applyAlignment="1">
      <alignment horizontal="center"/>
    </xf>
    <xf numFmtId="2" fontId="0" fillId="0" borderId="14" xfId="0" applyNumberFormat="1" applyFont="1" applyBorder="1" applyAlignment="1">
      <alignment horizontal="center"/>
    </xf>
    <xf numFmtId="2" fontId="0" fillId="35" borderId="12" xfId="0" applyNumberFormat="1" applyFont="1" applyFill="1" applyBorder="1" applyAlignment="1">
      <alignment horizontal="center"/>
    </xf>
    <xf numFmtId="2" fontId="0" fillId="35" borderId="16" xfId="0" applyNumberFormat="1" applyFont="1" applyFill="1" applyBorder="1" applyAlignment="1">
      <alignment horizontal="center"/>
    </xf>
    <xf numFmtId="0" fontId="0" fillId="35" borderId="12" xfId="0" applyFont="1" applyFill="1" applyBorder="1" applyAlignment="1">
      <alignment horizontal="center"/>
    </xf>
    <xf numFmtId="0" fontId="18" fillId="37" borderId="17" xfId="0" applyFont="1" applyFill="1" applyBorder="1"/>
    <xf numFmtId="0" fontId="0" fillId="35" borderId="17" xfId="0" applyFont="1" applyFill="1" applyBorder="1"/>
    <xf numFmtId="0" fontId="0" fillId="35" borderId="18" xfId="0" applyFont="1" applyFill="1" applyBorder="1"/>
    <xf numFmtId="0" fontId="0" fillId="35" borderId="14" xfId="0" applyFont="1" applyFill="1" applyBorder="1" applyAlignment="1">
      <alignment horizontal="center"/>
    </xf>
    <xf numFmtId="0" fontId="0" fillId="0" borderId="14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 outline="0">
        <left/>
        <right/>
        <top style="thin">
          <color theme="5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 style="thin">
          <color theme="5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border outline="0">
        <right style="thin">
          <color theme="4" tint="0.39997558519241921"/>
        </right>
      </border>
    </dxf>
    <dxf>
      <fill>
        <patternFill patternType="solid">
          <fgColor indexed="64"/>
          <bgColor rgb="FF00B0F0"/>
        </patternFill>
      </fill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95C498-2358-4EEE-8BCD-05747E0C62EE}" name="Table6" displayName="Table6" ref="U1:U5" totalsRowShown="0" headerRowDxfId="15" tableBorderDxfId="16">
  <autoFilter ref="U1:U5" xr:uid="{7495C498-2358-4EEE-8BCD-05747E0C62EE}"/>
  <tableColumns count="1">
    <tableColumn id="1" xr3:uid="{64C562EF-9955-477A-A03A-387FD0557713}" name="Choose 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206DF0-550D-4973-A8DF-8091B53F35F2}" name="Table10" displayName="Table10" ref="G1:S100" totalsRowShown="0" headerRowDxfId="6" tableBorderDxfId="14">
  <autoFilter ref="G1:S100" xr:uid="{C5206DF0-550D-4973-A8DF-8091B53F35F2}"/>
  <tableColumns count="13">
    <tableColumn id="1" xr3:uid="{4CFED841-1DC7-440D-A740-B63669272EAC}" name="Country Missing" dataDxfId="13">
      <calculatedColumnFormula>IF(ISBLANK(F2),"UNKNOWN",F2)</calculatedColumnFormula>
    </tableColumn>
    <tableColumn id="2" xr3:uid="{6B3B4EA5-0F72-4A5D-BA77-26FD025561C1}" name="Region" dataDxfId="12"/>
    <tableColumn id="3" xr3:uid="{6E0C1BB8-CB0C-498C-BC15-A8E0CA6042EA}" name="Category" dataDxfId="11"/>
    <tableColumn id="4" xr3:uid="{CC7183CF-7556-4DDC-AF61-F58B7C3193A7}" name="Choose Category" dataDxfId="10"/>
    <tableColumn id="5" xr3:uid="{A4A6C4D8-2B08-4E4E-8ECB-05D1B37DE674}" name="Sub-Category" dataDxfId="9"/>
    <tableColumn id="6" xr3:uid="{6D3C84CC-37F0-4BED-AD75-C71C3C1B49F4}" name="Sales" dataDxfId="8"/>
    <tableColumn id="7" xr3:uid="{27509220-1ABA-41E6-BBC2-5ECC0B944A32}" name="Sales missing" dataDxfId="5">
      <calculatedColumnFormula>IF(ISBLANK(L2),AVERAGE($L$2:$L$100),L2)</calculatedColumnFormula>
    </tableColumn>
    <tableColumn id="8" xr3:uid="{2196ABD7-E433-4123-8E47-5A5639E4B858}" name="Quantity" dataDxfId="4"/>
    <tableColumn id="9" xr3:uid="{C2CE0B4D-E74D-4AEF-A865-E3ACD43A29E0}" name="Discount" dataDxfId="3"/>
    <tableColumn id="10" xr3:uid="{43A77F44-771C-4F09-B1FC-65A019271601}" name="Profit" dataDxfId="2"/>
    <tableColumn id="11" xr3:uid="{2EDC3195-8A63-420C-B2C0-C30E4E5182D3}" name="Profit missing" dataDxfId="0"/>
    <tableColumn id="12" xr3:uid="{6DCFDB2D-C549-4954-A498-73C0BEE99F47}" name="Order Priority" dataDxfId="1"/>
    <tableColumn id="13" xr3:uid="{3FBBEA5E-432F-4EB0-AE82-872A5DDCCFE4}" name="Order priority missing" dataDxfId="7">
      <calculatedColumnFormula>IF(ISBLANK(R2),"UNKNOWN",R2)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8479-E6DB-4780-8AF3-579372565988}">
  <dimension ref="A1:M100"/>
  <sheetViews>
    <sheetView workbookViewId="0">
      <selection activeCell="R5" sqref="R5"/>
    </sheetView>
  </sheetViews>
  <sheetFormatPr defaultRowHeight="14.4" x14ac:dyDescent="0.3"/>
  <cols>
    <col min="1" max="1" width="25.5546875" customWidth="1"/>
    <col min="2" max="2" width="11.88671875" customWidth="1"/>
    <col min="13" max="13" width="14.5546875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3" t="s">
        <v>13</v>
      </c>
      <c r="B2" s="4">
        <v>41929</v>
      </c>
      <c r="C2" s="4">
        <v>41930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>
        <v>5175.1710000000003</v>
      </c>
      <c r="J2" s="3">
        <v>9</v>
      </c>
      <c r="K2" s="3">
        <v>0.1</v>
      </c>
      <c r="L2" s="3">
        <v>919.97099999999898</v>
      </c>
      <c r="M2" s="3" t="s">
        <v>19</v>
      </c>
    </row>
    <row r="3" spans="1:13" x14ac:dyDescent="0.3">
      <c r="A3" s="3" t="s">
        <v>20</v>
      </c>
      <c r="B3" s="4">
        <v>41667</v>
      </c>
      <c r="C3" s="4">
        <v>41669</v>
      </c>
      <c r="D3" s="3" t="s">
        <v>21</v>
      </c>
      <c r="E3" s="3" t="s">
        <v>22</v>
      </c>
      <c r="F3" s="3"/>
      <c r="G3" s="3" t="s">
        <v>17</v>
      </c>
      <c r="H3" s="3" t="s">
        <v>23</v>
      </c>
      <c r="I3" s="3">
        <v>2892.5099999999902</v>
      </c>
      <c r="J3" s="3">
        <v>5</v>
      </c>
      <c r="K3" s="3">
        <v>0.1</v>
      </c>
      <c r="L3" s="3">
        <v>-96.54</v>
      </c>
      <c r="M3" s="3"/>
    </row>
    <row r="4" spans="1:13" x14ac:dyDescent="0.3">
      <c r="A4" s="3"/>
      <c r="B4" s="4">
        <v>41948</v>
      </c>
      <c r="C4" s="4">
        <v>41949</v>
      </c>
      <c r="D4" s="3" t="s">
        <v>24</v>
      </c>
      <c r="E4" s="3"/>
      <c r="F4" s="3" t="s">
        <v>25</v>
      </c>
      <c r="G4" s="3" t="s">
        <v>17</v>
      </c>
      <c r="H4" s="3" t="s">
        <v>26</v>
      </c>
      <c r="I4" s="3">
        <v>2832.96</v>
      </c>
      <c r="J4" s="3">
        <v>8</v>
      </c>
      <c r="K4" s="3">
        <v>0</v>
      </c>
      <c r="L4" s="3">
        <v>311.52</v>
      </c>
      <c r="M4" s="3" t="s">
        <v>27</v>
      </c>
    </row>
    <row r="5" spans="1:13" x14ac:dyDescent="0.3">
      <c r="A5" s="3" t="s">
        <v>28</v>
      </c>
      <c r="B5" s="4">
        <v>41818</v>
      </c>
      <c r="C5" s="4">
        <v>41821</v>
      </c>
      <c r="D5" s="3" t="s">
        <v>29</v>
      </c>
      <c r="E5" s="3" t="s">
        <v>15</v>
      </c>
      <c r="F5" s="3" t="s">
        <v>16</v>
      </c>
      <c r="G5" s="3" t="s">
        <v>17</v>
      </c>
      <c r="H5" s="3" t="s">
        <v>26</v>
      </c>
      <c r="I5" s="3">
        <v>2862.6750000000002</v>
      </c>
      <c r="J5" s="3">
        <v>5</v>
      </c>
      <c r="K5" s="3">
        <v>0.1</v>
      </c>
      <c r="L5" s="3">
        <v>763.27499999999998</v>
      </c>
      <c r="M5" s="3" t="s">
        <v>27</v>
      </c>
    </row>
    <row r="6" spans="1:13" x14ac:dyDescent="0.3">
      <c r="A6" s="3"/>
      <c r="B6" s="4">
        <v>41219</v>
      </c>
      <c r="C6" s="4">
        <v>41221</v>
      </c>
      <c r="D6" s="3" t="s">
        <v>30</v>
      </c>
      <c r="E6" s="3" t="s">
        <v>31</v>
      </c>
      <c r="F6" s="3" t="s">
        <v>16</v>
      </c>
      <c r="G6" s="3" t="s">
        <v>32</v>
      </c>
      <c r="H6" s="3" t="s">
        <v>33</v>
      </c>
      <c r="I6" s="3">
        <v>1822.0799999999899</v>
      </c>
      <c r="J6" s="3">
        <v>4</v>
      </c>
      <c r="K6" s="3">
        <v>0</v>
      </c>
      <c r="L6" s="3">
        <v>564.84</v>
      </c>
      <c r="M6" s="3" t="s">
        <v>27</v>
      </c>
    </row>
    <row r="7" spans="1:13" x14ac:dyDescent="0.3">
      <c r="A7" s="3" t="s">
        <v>34</v>
      </c>
      <c r="B7" s="3"/>
      <c r="C7" s="3"/>
      <c r="D7" s="3" t="s">
        <v>35</v>
      </c>
      <c r="E7" s="3" t="s">
        <v>31</v>
      </c>
      <c r="F7" s="3" t="s">
        <v>16</v>
      </c>
      <c r="G7" s="3" t="s">
        <v>32</v>
      </c>
      <c r="H7" s="3" t="s">
        <v>26</v>
      </c>
      <c r="I7" s="3">
        <v>5244.84</v>
      </c>
      <c r="J7" s="3" t="s">
        <v>36</v>
      </c>
      <c r="K7" s="3">
        <v>0</v>
      </c>
      <c r="L7" s="3">
        <v>996.479999999999</v>
      </c>
      <c r="M7" s="3" t="s">
        <v>37</v>
      </c>
    </row>
    <row r="8" spans="1:13" x14ac:dyDescent="0.3">
      <c r="A8" s="3" t="s">
        <v>38</v>
      </c>
      <c r="B8" s="4">
        <v>41954</v>
      </c>
      <c r="C8" s="4">
        <v>41956</v>
      </c>
      <c r="D8" s="3" t="s">
        <v>39</v>
      </c>
      <c r="E8" s="3" t="s">
        <v>40</v>
      </c>
      <c r="F8" s="3" t="s">
        <v>41</v>
      </c>
      <c r="G8" s="3" t="s">
        <v>32</v>
      </c>
      <c r="H8" s="3" t="s">
        <v>23</v>
      </c>
      <c r="I8" s="3">
        <v>341.96</v>
      </c>
      <c r="J8" s="3">
        <v>2</v>
      </c>
      <c r="K8" s="3">
        <v>0</v>
      </c>
      <c r="L8" s="3">
        <v>54.7135999999999</v>
      </c>
      <c r="M8" s="3" t="s">
        <v>37</v>
      </c>
    </row>
    <row r="9" spans="1:13" x14ac:dyDescent="0.3">
      <c r="A9" s="3" t="s">
        <v>42</v>
      </c>
      <c r="B9" s="4">
        <v>40974</v>
      </c>
      <c r="C9" s="4">
        <v>40975</v>
      </c>
      <c r="D9" s="3" t="s">
        <v>39</v>
      </c>
      <c r="E9" s="3" t="s">
        <v>40</v>
      </c>
      <c r="F9" s="3" t="s">
        <v>43</v>
      </c>
      <c r="G9" s="3" t="s">
        <v>32</v>
      </c>
      <c r="H9" s="3" t="s">
        <v>44</v>
      </c>
      <c r="I9" s="3">
        <v>48.712000000000003</v>
      </c>
      <c r="J9" s="3">
        <v>1</v>
      </c>
      <c r="K9" s="3"/>
      <c r="L9" s="3">
        <v>5.4800999999999904</v>
      </c>
      <c r="M9" s="3" t="s">
        <v>37</v>
      </c>
    </row>
    <row r="10" spans="1:13" x14ac:dyDescent="0.3">
      <c r="A10" s="3" t="s">
        <v>42</v>
      </c>
      <c r="B10" s="4">
        <v>40974</v>
      </c>
      <c r="C10" s="4">
        <v>40975</v>
      </c>
      <c r="D10" s="3" t="s">
        <v>39</v>
      </c>
      <c r="E10" s="3"/>
      <c r="F10" s="3" t="s">
        <v>43</v>
      </c>
      <c r="G10" s="3" t="s">
        <v>45</v>
      </c>
      <c r="H10" s="3" t="s">
        <v>46</v>
      </c>
      <c r="I10" s="3" t="s">
        <v>47</v>
      </c>
      <c r="J10" s="3">
        <v>3</v>
      </c>
      <c r="K10" s="3">
        <v>0</v>
      </c>
      <c r="L10" s="3">
        <v>26.647123533229099</v>
      </c>
      <c r="M10" s="3" t="s">
        <v>37</v>
      </c>
    </row>
    <row r="11" spans="1:13" x14ac:dyDescent="0.3">
      <c r="A11" s="3" t="s">
        <v>48</v>
      </c>
      <c r="B11" s="4">
        <v>41383</v>
      </c>
      <c r="C11" s="3" t="s">
        <v>49</v>
      </c>
      <c r="D11" s="3" t="s">
        <v>50</v>
      </c>
      <c r="E11" s="3" t="s">
        <v>51</v>
      </c>
      <c r="F11" s="3" t="s">
        <v>52</v>
      </c>
      <c r="G11" s="3" t="s">
        <v>32</v>
      </c>
      <c r="H11" s="3" t="s">
        <v>44</v>
      </c>
      <c r="I11" s="3">
        <v>4626.1499999999996</v>
      </c>
      <c r="J11" s="3">
        <v>5</v>
      </c>
      <c r="K11" s="3">
        <v>0</v>
      </c>
      <c r="L11" s="3"/>
      <c r="M11" s="3" t="s">
        <v>37</v>
      </c>
    </row>
    <row r="12" spans="1:13" x14ac:dyDescent="0.3">
      <c r="A12" s="3" t="s">
        <v>53</v>
      </c>
      <c r="B12" s="4">
        <v>41269</v>
      </c>
      <c r="C12" s="3"/>
      <c r="D12" s="3" t="s">
        <v>54</v>
      </c>
      <c r="E12" s="3" t="s">
        <v>55</v>
      </c>
      <c r="F12" s="3" t="s">
        <v>56</v>
      </c>
      <c r="G12" s="3" t="s">
        <v>17</v>
      </c>
      <c r="H12" s="3" t="s">
        <v>57</v>
      </c>
      <c r="I12" s="3">
        <v>2616.96</v>
      </c>
      <c r="J12" s="3">
        <v>4</v>
      </c>
      <c r="K12" s="3">
        <v>0</v>
      </c>
      <c r="L12" s="3">
        <v>1151.4000000000001</v>
      </c>
      <c r="M12" s="3" t="s">
        <v>27</v>
      </c>
    </row>
    <row r="13" spans="1:13" x14ac:dyDescent="0.3">
      <c r="A13" s="3" t="s">
        <v>58</v>
      </c>
      <c r="B13" s="4">
        <v>41591</v>
      </c>
      <c r="C13" s="4">
        <v>41591</v>
      </c>
      <c r="D13" s="3" t="s">
        <v>59</v>
      </c>
      <c r="E13" s="3" t="s">
        <v>60</v>
      </c>
      <c r="F13" s="3" t="s">
        <v>61</v>
      </c>
      <c r="G13" s="3" t="s">
        <v>32</v>
      </c>
      <c r="H13" s="3" t="s">
        <v>44</v>
      </c>
      <c r="I13" s="3" t="s">
        <v>62</v>
      </c>
      <c r="J13" s="3" t="s">
        <v>63</v>
      </c>
      <c r="K13" s="3">
        <v>0</v>
      </c>
      <c r="L13" s="3">
        <v>622.02</v>
      </c>
      <c r="M13" s="3" t="s">
        <v>27</v>
      </c>
    </row>
    <row r="14" spans="1:13" x14ac:dyDescent="0.3">
      <c r="A14" s="3" t="s">
        <v>64</v>
      </c>
      <c r="B14" s="4">
        <v>41796</v>
      </c>
      <c r="C14" s="4">
        <v>41798</v>
      </c>
      <c r="D14" s="3" t="s">
        <v>65</v>
      </c>
      <c r="E14" s="3" t="s">
        <v>66</v>
      </c>
      <c r="F14" s="3" t="s">
        <v>67</v>
      </c>
      <c r="G14" s="3" t="s">
        <v>45</v>
      </c>
      <c r="H14" s="3" t="s">
        <v>26</v>
      </c>
      <c r="I14" s="3">
        <v>3701.51999999999</v>
      </c>
      <c r="J14" s="3">
        <v>12</v>
      </c>
      <c r="K14" s="3">
        <v>0</v>
      </c>
      <c r="L14" s="3">
        <v>1036.08</v>
      </c>
      <c r="M14" s="3" t="s">
        <v>27</v>
      </c>
    </row>
    <row r="15" spans="1:13" x14ac:dyDescent="0.3">
      <c r="A15" s="3" t="s">
        <v>68</v>
      </c>
      <c r="B15" s="4">
        <v>42216</v>
      </c>
      <c r="C15" s="4">
        <v>42219</v>
      </c>
      <c r="D15" s="3" t="s">
        <v>69</v>
      </c>
      <c r="E15" s="3" t="s">
        <v>70</v>
      </c>
      <c r="F15" s="3" t="s">
        <v>71</v>
      </c>
      <c r="G15" s="3" t="s">
        <v>45</v>
      </c>
      <c r="H15" s="3" t="s">
        <v>23</v>
      </c>
      <c r="I15" s="3">
        <v>1869.58799999999</v>
      </c>
      <c r="J15" s="3">
        <v>4</v>
      </c>
      <c r="K15" s="3">
        <v>0.1</v>
      </c>
      <c r="L15" s="3"/>
      <c r="M15" s="3" t="s">
        <v>27</v>
      </c>
    </row>
    <row r="16" spans="1:13" x14ac:dyDescent="0.3">
      <c r="A16" s="3" t="s">
        <v>72</v>
      </c>
      <c r="B16" s="4">
        <v>40958</v>
      </c>
      <c r="C16" s="4">
        <v>40964</v>
      </c>
      <c r="D16" s="3" t="s">
        <v>39</v>
      </c>
      <c r="E16" s="3" t="s">
        <v>40</v>
      </c>
      <c r="F16" s="3" t="s">
        <v>41</v>
      </c>
      <c r="G16" s="3" t="s">
        <v>45</v>
      </c>
      <c r="H16" s="3" t="s">
        <v>73</v>
      </c>
      <c r="I16" s="3">
        <v>12.624000000000001</v>
      </c>
      <c r="J16" s="3">
        <v>2</v>
      </c>
      <c r="K16" s="3">
        <v>0.2</v>
      </c>
      <c r="L16" s="3">
        <v>-2.5247999999999999</v>
      </c>
      <c r="M16" s="3" t="s">
        <v>74</v>
      </c>
    </row>
    <row r="17" spans="1:13" x14ac:dyDescent="0.3">
      <c r="A17" s="3" t="s">
        <v>75</v>
      </c>
      <c r="B17" s="4">
        <v>42255</v>
      </c>
      <c r="C17" s="4">
        <v>42261</v>
      </c>
      <c r="D17" s="3"/>
      <c r="E17" s="3" t="s">
        <v>76</v>
      </c>
      <c r="F17" s="3" t="s">
        <v>77</v>
      </c>
      <c r="G17" s="3" t="s">
        <v>45</v>
      </c>
      <c r="H17" s="3" t="s">
        <v>73</v>
      </c>
      <c r="I17" s="3" t="s">
        <v>78</v>
      </c>
      <c r="J17" s="3">
        <v>14</v>
      </c>
      <c r="K17" s="3">
        <v>0</v>
      </c>
      <c r="L17" s="3">
        <v>3979.0799999999899</v>
      </c>
      <c r="M17" s="3" t="s">
        <v>74</v>
      </c>
    </row>
    <row r="18" spans="1:13" x14ac:dyDescent="0.3">
      <c r="A18" s="3" t="s">
        <v>79</v>
      </c>
      <c r="B18" s="4">
        <v>42035</v>
      </c>
      <c r="C18" s="4">
        <v>42036</v>
      </c>
      <c r="D18" s="3" t="s">
        <v>80</v>
      </c>
      <c r="E18" s="3" t="s">
        <v>15</v>
      </c>
      <c r="F18" s="3" t="s">
        <v>16</v>
      </c>
      <c r="G18" s="3"/>
      <c r="H18" s="3" t="s">
        <v>18</v>
      </c>
      <c r="I18" s="3">
        <v>2565.5940000000001</v>
      </c>
      <c r="J18" s="3">
        <v>9</v>
      </c>
      <c r="K18" s="3"/>
      <c r="L18" s="3"/>
      <c r="M18" s="3" t="s">
        <v>27</v>
      </c>
    </row>
    <row r="19" spans="1:13" x14ac:dyDescent="0.3">
      <c r="A19" s="3" t="s">
        <v>81</v>
      </c>
      <c r="B19" s="4">
        <v>42343</v>
      </c>
      <c r="C19" s="4">
        <v>42345</v>
      </c>
      <c r="D19" s="3" t="s">
        <v>82</v>
      </c>
      <c r="E19" s="3" t="s">
        <v>83</v>
      </c>
      <c r="F19" s="3" t="s">
        <v>84</v>
      </c>
      <c r="G19" s="3" t="s">
        <v>45</v>
      </c>
      <c r="H19" s="3" t="s">
        <v>73</v>
      </c>
      <c r="I19" s="3">
        <v>3409.74</v>
      </c>
      <c r="J19" s="3">
        <v>6</v>
      </c>
      <c r="K19" s="3">
        <v>0</v>
      </c>
      <c r="L19" s="3">
        <v>818.28</v>
      </c>
      <c r="M19" s="3" t="s">
        <v>37</v>
      </c>
    </row>
    <row r="20" spans="1:13" x14ac:dyDescent="0.3">
      <c r="A20" s="3" t="s">
        <v>85</v>
      </c>
      <c r="B20" s="4">
        <v>41494</v>
      </c>
      <c r="C20" s="4">
        <v>41496</v>
      </c>
      <c r="D20" s="3" t="s">
        <v>86</v>
      </c>
      <c r="E20" s="3"/>
      <c r="F20" s="3" t="s">
        <v>87</v>
      </c>
      <c r="G20" s="3" t="s">
        <v>32</v>
      </c>
      <c r="H20" s="3" t="s">
        <v>33</v>
      </c>
      <c r="I20" s="3">
        <v>1977.71999999999</v>
      </c>
      <c r="J20" s="3">
        <v>4</v>
      </c>
      <c r="K20" s="3">
        <v>0</v>
      </c>
      <c r="L20" s="3">
        <v>276.83999999999997</v>
      </c>
      <c r="M20" s="3" t="s">
        <v>27</v>
      </c>
    </row>
    <row r="21" spans="1:13" x14ac:dyDescent="0.3">
      <c r="A21" s="3" t="s">
        <v>42</v>
      </c>
      <c r="B21" s="4">
        <v>40974</v>
      </c>
      <c r="C21" s="4">
        <v>40975</v>
      </c>
      <c r="D21" s="3" t="s">
        <v>39</v>
      </c>
      <c r="E21" s="3" t="s">
        <v>40</v>
      </c>
      <c r="F21" s="3" t="s">
        <v>43</v>
      </c>
      <c r="G21" s="3" t="s">
        <v>45</v>
      </c>
      <c r="H21" s="3" t="s">
        <v>73</v>
      </c>
      <c r="I21" s="3">
        <v>242.94</v>
      </c>
      <c r="J21" s="3">
        <v>3</v>
      </c>
      <c r="K21" s="3">
        <v>0</v>
      </c>
      <c r="L21" s="3">
        <v>4.8588000000000102</v>
      </c>
      <c r="M21" s="3" t="s">
        <v>37</v>
      </c>
    </row>
    <row r="22" spans="1:13" x14ac:dyDescent="0.3">
      <c r="A22" s="3" t="s">
        <v>88</v>
      </c>
      <c r="B22" s="4">
        <v>41030</v>
      </c>
      <c r="C22" s="4">
        <v>41031</v>
      </c>
      <c r="D22" s="3" t="s">
        <v>89</v>
      </c>
      <c r="E22" s="3" t="s">
        <v>66</v>
      </c>
      <c r="F22" s="3" t="s">
        <v>90</v>
      </c>
      <c r="G22" s="3" t="s">
        <v>32</v>
      </c>
      <c r="H22" s="3" t="s">
        <v>44</v>
      </c>
      <c r="I22" s="3">
        <v>2753.99999999999</v>
      </c>
      <c r="J22" s="3">
        <v>6</v>
      </c>
      <c r="K22" s="3">
        <v>0</v>
      </c>
      <c r="L22" s="3">
        <v>358.02</v>
      </c>
      <c r="M22" s="3" t="s">
        <v>27</v>
      </c>
    </row>
    <row r="23" spans="1:13" x14ac:dyDescent="0.3">
      <c r="A23" s="3" t="s">
        <v>91</v>
      </c>
      <c r="B23" s="4">
        <v>41697</v>
      </c>
      <c r="C23" s="4">
        <v>41699</v>
      </c>
      <c r="D23" s="3" t="s">
        <v>92</v>
      </c>
      <c r="E23" s="3" t="s">
        <v>93</v>
      </c>
      <c r="F23" s="3" t="s">
        <v>94</v>
      </c>
      <c r="G23" s="3" t="s">
        <v>45</v>
      </c>
      <c r="H23" s="3" t="s">
        <v>26</v>
      </c>
      <c r="I23" s="3">
        <v>5273.7</v>
      </c>
      <c r="J23" s="3">
        <v>10</v>
      </c>
      <c r="K23" s="3"/>
      <c r="L23" s="3">
        <v>1898.4</v>
      </c>
      <c r="M23" s="3" t="s">
        <v>37</v>
      </c>
    </row>
    <row r="24" spans="1:13" x14ac:dyDescent="0.3">
      <c r="A24" s="3" t="s">
        <v>95</v>
      </c>
      <c r="B24" s="4">
        <v>42216</v>
      </c>
      <c r="C24" s="4">
        <v>42217</v>
      </c>
      <c r="D24" s="3" t="s">
        <v>96</v>
      </c>
      <c r="E24" s="3" t="s">
        <v>97</v>
      </c>
      <c r="F24" s="3" t="s">
        <v>98</v>
      </c>
      <c r="G24" s="3" t="s">
        <v>17</v>
      </c>
      <c r="H24" s="3" t="s">
        <v>23</v>
      </c>
      <c r="I24" s="3">
        <v>1713.84</v>
      </c>
      <c r="J24" s="3">
        <v>4</v>
      </c>
      <c r="K24" s="3">
        <v>0</v>
      </c>
      <c r="L24" s="3">
        <v>445.52</v>
      </c>
      <c r="M24" s="3" t="s">
        <v>27</v>
      </c>
    </row>
    <row r="25" spans="1:13" x14ac:dyDescent="0.3">
      <c r="A25" s="3" t="s">
        <v>99</v>
      </c>
      <c r="B25" s="4">
        <v>42252</v>
      </c>
      <c r="C25" s="4">
        <v>42255</v>
      </c>
      <c r="D25" s="3" t="s">
        <v>100</v>
      </c>
      <c r="E25" s="3" t="s">
        <v>101</v>
      </c>
      <c r="F25" s="3" t="s">
        <v>98</v>
      </c>
      <c r="G25" s="3" t="s">
        <v>32</v>
      </c>
      <c r="H25" s="3" t="s">
        <v>73</v>
      </c>
      <c r="I25" s="3">
        <v>2106.4960000000001</v>
      </c>
      <c r="J25" s="3">
        <v>8</v>
      </c>
      <c r="K25" s="3">
        <v>0.2</v>
      </c>
      <c r="L25" s="3">
        <v>526.49599999999998</v>
      </c>
      <c r="M25" s="3" t="s">
        <v>27</v>
      </c>
    </row>
    <row r="26" spans="1:13" x14ac:dyDescent="0.3">
      <c r="A26" s="3" t="s">
        <v>102</v>
      </c>
      <c r="B26" s="4">
        <v>41259</v>
      </c>
      <c r="C26" s="4">
        <v>41262</v>
      </c>
      <c r="D26" s="3" t="s">
        <v>103</v>
      </c>
      <c r="E26" s="3" t="s">
        <v>104</v>
      </c>
      <c r="F26" s="3" t="s">
        <v>90</v>
      </c>
      <c r="G26" s="3" t="s">
        <v>32</v>
      </c>
      <c r="H26" s="3" t="s">
        <v>26</v>
      </c>
      <c r="I26" s="3">
        <v>1715.1599999999901</v>
      </c>
      <c r="J26" s="3"/>
      <c r="K26" s="3">
        <v>0</v>
      </c>
      <c r="L26" s="3">
        <v>720.36</v>
      </c>
      <c r="M26" s="3" t="s">
        <v>27</v>
      </c>
    </row>
    <row r="27" spans="1:13" x14ac:dyDescent="0.3">
      <c r="A27" s="3" t="s">
        <v>105</v>
      </c>
      <c r="B27" s="3"/>
      <c r="C27" s="4">
        <v>40984</v>
      </c>
      <c r="D27" s="3" t="s">
        <v>106</v>
      </c>
      <c r="E27" s="3" t="s">
        <v>22</v>
      </c>
      <c r="F27" s="3" t="s">
        <v>107</v>
      </c>
      <c r="G27" s="3" t="s">
        <v>108</v>
      </c>
      <c r="H27" s="3" t="s">
        <v>44</v>
      </c>
      <c r="I27" s="3">
        <v>3069.7379999999998</v>
      </c>
      <c r="J27" s="3">
        <v>6</v>
      </c>
      <c r="K27" s="3">
        <v>0.1</v>
      </c>
      <c r="L27" s="3">
        <v>1364.2379999999901</v>
      </c>
      <c r="M27" s="3" t="s">
        <v>27</v>
      </c>
    </row>
    <row r="28" spans="1:13" x14ac:dyDescent="0.3">
      <c r="A28" s="3" t="s">
        <v>109</v>
      </c>
      <c r="B28" s="4">
        <v>41020</v>
      </c>
      <c r="C28" s="4">
        <v>41022</v>
      </c>
      <c r="D28" s="3" t="s">
        <v>110</v>
      </c>
      <c r="E28" s="3" t="s">
        <v>40</v>
      </c>
      <c r="F28" s="3" t="s">
        <v>111</v>
      </c>
      <c r="G28" s="3" t="s">
        <v>45</v>
      </c>
      <c r="H28" s="3" t="s">
        <v>44</v>
      </c>
      <c r="I28" s="3">
        <v>247.84</v>
      </c>
      <c r="J28" s="3">
        <v>8</v>
      </c>
      <c r="K28" s="3">
        <v>0</v>
      </c>
      <c r="L28" s="3">
        <v>121.44159999999999</v>
      </c>
      <c r="M28" s="3" t="s">
        <v>27</v>
      </c>
    </row>
    <row r="29" spans="1:13" x14ac:dyDescent="0.3">
      <c r="A29" s="3" t="s">
        <v>112</v>
      </c>
      <c r="B29" s="4">
        <v>41329</v>
      </c>
      <c r="C29" s="4">
        <v>41329</v>
      </c>
      <c r="D29" s="3" t="s">
        <v>113</v>
      </c>
      <c r="E29" s="3" t="s">
        <v>114</v>
      </c>
      <c r="F29" s="3" t="s">
        <v>115</v>
      </c>
      <c r="G29" s="3" t="s">
        <v>32</v>
      </c>
      <c r="H29" s="3" t="s">
        <v>73</v>
      </c>
      <c r="I29" s="3">
        <v>1878.71999999999</v>
      </c>
      <c r="J29" s="3">
        <v>4</v>
      </c>
      <c r="K29" s="3"/>
      <c r="L29" s="3">
        <v>582.36</v>
      </c>
      <c r="M29" s="3" t="s">
        <v>27</v>
      </c>
    </row>
    <row r="30" spans="1:13" x14ac:dyDescent="0.3">
      <c r="A30" s="3" t="s">
        <v>116</v>
      </c>
      <c r="B30" s="4">
        <v>41270</v>
      </c>
      <c r="C30" s="3" t="s">
        <v>117</v>
      </c>
      <c r="D30" s="3" t="s">
        <v>118</v>
      </c>
      <c r="E30" s="3" t="s">
        <v>119</v>
      </c>
      <c r="F30" s="3" t="s">
        <v>120</v>
      </c>
      <c r="G30" s="3" t="s">
        <v>17</v>
      </c>
      <c r="H30" s="3" t="s">
        <v>26</v>
      </c>
      <c r="I30" s="3">
        <v>1696.64</v>
      </c>
      <c r="J30" s="3">
        <v>5</v>
      </c>
      <c r="K30" s="3"/>
      <c r="L30" s="3">
        <v>-148.46</v>
      </c>
      <c r="M30" s="3" t="s">
        <v>27</v>
      </c>
    </row>
    <row r="31" spans="1:13" x14ac:dyDescent="0.3">
      <c r="A31" s="3" t="s">
        <v>121</v>
      </c>
      <c r="B31" s="4">
        <v>41472</v>
      </c>
      <c r="C31" s="4">
        <v>41474</v>
      </c>
      <c r="D31" s="3" t="s">
        <v>122</v>
      </c>
      <c r="E31" s="3" t="s">
        <v>70</v>
      </c>
      <c r="F31" s="3" t="s">
        <v>71</v>
      </c>
      <c r="G31" s="3" t="s">
        <v>17</v>
      </c>
      <c r="H31" s="3" t="s">
        <v>23</v>
      </c>
      <c r="I31" s="3">
        <v>2402.8649999999998</v>
      </c>
      <c r="J31" s="3">
        <v>9</v>
      </c>
      <c r="K31" s="3">
        <v>0.15</v>
      </c>
      <c r="L31" s="3">
        <v>763.15499999999997</v>
      </c>
      <c r="M31" s="3" t="s">
        <v>27</v>
      </c>
    </row>
    <row r="32" spans="1:13" x14ac:dyDescent="0.3">
      <c r="A32" s="3" t="s">
        <v>123</v>
      </c>
      <c r="B32" s="4">
        <v>41635</v>
      </c>
      <c r="C32" s="4">
        <v>41639</v>
      </c>
      <c r="D32" s="3" t="s">
        <v>110</v>
      </c>
      <c r="E32" s="3" t="s">
        <v>40</v>
      </c>
      <c r="F32" s="3" t="s">
        <v>43</v>
      </c>
      <c r="G32" s="3" t="s">
        <v>17</v>
      </c>
      <c r="H32" s="3" t="s">
        <v>26</v>
      </c>
      <c r="I32" s="3">
        <v>668.16</v>
      </c>
      <c r="J32" s="3">
        <v>9</v>
      </c>
      <c r="K32" s="3">
        <v>0.2</v>
      </c>
      <c r="L32" s="3">
        <v>75.167999999999907</v>
      </c>
      <c r="M32" s="3" t="s">
        <v>19</v>
      </c>
    </row>
    <row r="33" spans="1:13" x14ac:dyDescent="0.3">
      <c r="A33" s="3" t="s">
        <v>124</v>
      </c>
      <c r="B33" s="3" t="s">
        <v>125</v>
      </c>
      <c r="C33" s="4">
        <v>41217</v>
      </c>
      <c r="D33" s="3" t="s">
        <v>126</v>
      </c>
      <c r="E33" s="3" t="s">
        <v>15</v>
      </c>
      <c r="F33" s="3" t="s">
        <v>16</v>
      </c>
      <c r="G33" s="3" t="s">
        <v>45</v>
      </c>
      <c r="H33" s="3" t="s">
        <v>127</v>
      </c>
      <c r="I33" s="3">
        <v>2526.9299999999998</v>
      </c>
      <c r="J33" s="3">
        <v>5</v>
      </c>
      <c r="K33" s="3">
        <v>0.1</v>
      </c>
      <c r="L33" s="3">
        <v>561.48</v>
      </c>
      <c r="M33" s="3" t="s">
        <v>27</v>
      </c>
    </row>
    <row r="34" spans="1:13" x14ac:dyDescent="0.3">
      <c r="A34" s="3" t="s">
        <v>128</v>
      </c>
      <c r="B34" s="4">
        <v>41635</v>
      </c>
      <c r="C34" s="4">
        <v>41639</v>
      </c>
      <c r="D34" s="3" t="s">
        <v>110</v>
      </c>
      <c r="E34" s="3" t="s">
        <v>40</v>
      </c>
      <c r="F34" s="3" t="s">
        <v>43</v>
      </c>
      <c r="G34" s="3" t="s">
        <v>45</v>
      </c>
      <c r="H34" s="3" t="s">
        <v>23</v>
      </c>
      <c r="I34" s="3">
        <v>323.10000000000002</v>
      </c>
      <c r="J34" s="3">
        <v>2</v>
      </c>
      <c r="K34" s="3">
        <v>0</v>
      </c>
      <c r="L34" s="3">
        <v>61.389000000000003</v>
      </c>
      <c r="M34" s="3" t="s">
        <v>19</v>
      </c>
    </row>
    <row r="35" spans="1:13" x14ac:dyDescent="0.3">
      <c r="A35" s="3" t="s">
        <v>129</v>
      </c>
      <c r="B35" s="4">
        <v>41165</v>
      </c>
      <c r="C35" s="4">
        <v>41166</v>
      </c>
      <c r="D35" s="3" t="s">
        <v>110</v>
      </c>
      <c r="E35" s="3" t="s">
        <v>130</v>
      </c>
      <c r="F35" s="3" t="s">
        <v>131</v>
      </c>
      <c r="G35" s="3" t="s">
        <v>132</v>
      </c>
      <c r="H35" s="3" t="s">
        <v>73</v>
      </c>
      <c r="I35" s="3">
        <v>3817.26</v>
      </c>
      <c r="J35" s="3">
        <v>6</v>
      </c>
      <c r="K35" s="3">
        <v>0</v>
      </c>
      <c r="L35" s="3">
        <v>1068.6599999999901</v>
      </c>
      <c r="M35" s="3" t="s">
        <v>37</v>
      </c>
    </row>
    <row r="36" spans="1:13" x14ac:dyDescent="0.3">
      <c r="A36" s="3" t="s">
        <v>133</v>
      </c>
      <c r="B36" s="4">
        <v>41041</v>
      </c>
      <c r="C36" s="3" t="s">
        <v>134</v>
      </c>
      <c r="D36" s="3" t="s">
        <v>110</v>
      </c>
      <c r="E36" s="3" t="s">
        <v>40</v>
      </c>
      <c r="F36" s="3" t="s">
        <v>43</v>
      </c>
      <c r="G36" s="3" t="s">
        <v>32</v>
      </c>
      <c r="H36" s="3" t="s">
        <v>44</v>
      </c>
      <c r="I36" s="3">
        <v>279.45600000000002</v>
      </c>
      <c r="J36" s="3">
        <v>6</v>
      </c>
      <c r="K36" s="3">
        <v>0.2</v>
      </c>
      <c r="L36" s="3">
        <v>20.9591999999999</v>
      </c>
      <c r="M36" s="3" t="s">
        <v>19</v>
      </c>
    </row>
    <row r="37" spans="1:13" x14ac:dyDescent="0.3">
      <c r="A37" s="3" t="s">
        <v>135</v>
      </c>
      <c r="B37" s="4">
        <v>41273</v>
      </c>
      <c r="C37" s="4">
        <v>41274</v>
      </c>
      <c r="D37" s="3"/>
      <c r="E37" s="3" t="s">
        <v>40</v>
      </c>
      <c r="F37" s="3" t="s">
        <v>111</v>
      </c>
      <c r="G37" s="3" t="s">
        <v>17</v>
      </c>
      <c r="H37" s="3" t="s">
        <v>26</v>
      </c>
      <c r="I37" s="3">
        <v>34.769999999999897</v>
      </c>
      <c r="J37" s="3">
        <v>3</v>
      </c>
      <c r="K37" s="3">
        <v>0</v>
      </c>
      <c r="L37" s="3">
        <v>11.4740999999999</v>
      </c>
      <c r="M37" s="3" t="s">
        <v>37</v>
      </c>
    </row>
    <row r="38" spans="1:13" x14ac:dyDescent="0.3">
      <c r="A38" s="3" t="s">
        <v>136</v>
      </c>
      <c r="B38" s="4">
        <v>42018</v>
      </c>
      <c r="C38" s="4">
        <v>42022</v>
      </c>
      <c r="D38" s="3"/>
      <c r="E38" s="3" t="s">
        <v>93</v>
      </c>
      <c r="F38" s="3" t="s">
        <v>94</v>
      </c>
      <c r="G38" s="3" t="s">
        <v>17</v>
      </c>
      <c r="H38" s="3" t="s">
        <v>127</v>
      </c>
      <c r="I38" s="3">
        <v>4141.0200000000004</v>
      </c>
      <c r="J38" s="3">
        <v>13</v>
      </c>
      <c r="K38" s="3">
        <v>0</v>
      </c>
      <c r="L38" s="3">
        <v>1697.67</v>
      </c>
      <c r="M38" s="3" t="s">
        <v>37</v>
      </c>
    </row>
    <row r="39" spans="1:13" x14ac:dyDescent="0.3">
      <c r="A39" s="3" t="s">
        <v>137</v>
      </c>
      <c r="B39" s="4">
        <v>40918</v>
      </c>
      <c r="C39" s="4">
        <v>41214</v>
      </c>
      <c r="D39" s="3" t="s">
        <v>138</v>
      </c>
      <c r="E39" s="3" t="s">
        <v>15</v>
      </c>
      <c r="F39" s="3" t="s">
        <v>16</v>
      </c>
      <c r="G39" s="3" t="s">
        <v>17</v>
      </c>
      <c r="H39" s="3" t="s">
        <v>127</v>
      </c>
      <c r="I39" s="3">
        <v>2875.0949999999998</v>
      </c>
      <c r="J39" s="3">
        <v>5</v>
      </c>
      <c r="K39" s="3">
        <v>0.1</v>
      </c>
      <c r="L39" s="3">
        <v>511.094999999999</v>
      </c>
      <c r="M39" s="3" t="s">
        <v>19</v>
      </c>
    </row>
    <row r="40" spans="1:13" x14ac:dyDescent="0.3">
      <c r="A40" s="3" t="s">
        <v>139</v>
      </c>
      <c r="B40" s="4">
        <v>41873</v>
      </c>
      <c r="C40" s="4">
        <v>41877</v>
      </c>
      <c r="D40" s="3" t="s">
        <v>140</v>
      </c>
      <c r="E40" s="3" t="s">
        <v>141</v>
      </c>
      <c r="F40" s="3" t="s">
        <v>142</v>
      </c>
      <c r="G40" s="3" t="s">
        <v>17</v>
      </c>
      <c r="H40" s="3" t="s">
        <v>33</v>
      </c>
      <c r="I40" s="3">
        <v>3200.5962</v>
      </c>
      <c r="J40" s="3">
        <v>6</v>
      </c>
      <c r="K40" s="3">
        <v>0.17</v>
      </c>
      <c r="L40" s="3">
        <v>-77.203799999999802</v>
      </c>
      <c r="M40" s="3" t="s">
        <v>37</v>
      </c>
    </row>
    <row r="41" spans="1:13" x14ac:dyDescent="0.3">
      <c r="A41" s="3" t="s">
        <v>143</v>
      </c>
      <c r="B41" s="4">
        <v>42319</v>
      </c>
      <c r="C41" s="4">
        <v>42323</v>
      </c>
      <c r="D41" s="3" t="s">
        <v>144</v>
      </c>
      <c r="E41" s="3" t="s">
        <v>114</v>
      </c>
      <c r="F41" s="3" t="s">
        <v>115</v>
      </c>
      <c r="G41" s="3" t="s">
        <v>17</v>
      </c>
      <c r="H41" s="3" t="s">
        <v>26</v>
      </c>
      <c r="I41" s="3">
        <v>4518.78</v>
      </c>
      <c r="J41" s="3">
        <v>7</v>
      </c>
      <c r="K41" s="3">
        <v>0</v>
      </c>
      <c r="L41" s="3">
        <v>632.52</v>
      </c>
      <c r="M41" s="3" t="s">
        <v>37</v>
      </c>
    </row>
    <row r="42" spans="1:13" x14ac:dyDescent="0.3">
      <c r="A42" s="3" t="s">
        <v>145</v>
      </c>
      <c r="B42" s="4">
        <v>42273</v>
      </c>
      <c r="C42" s="4">
        <v>42275</v>
      </c>
      <c r="D42" s="3" t="s">
        <v>146</v>
      </c>
      <c r="E42" s="3" t="s">
        <v>114</v>
      </c>
      <c r="F42" s="3" t="s">
        <v>115</v>
      </c>
      <c r="G42" s="3" t="s">
        <v>32</v>
      </c>
      <c r="H42" s="3" t="s">
        <v>26</v>
      </c>
      <c r="I42" s="3">
        <v>5667.87</v>
      </c>
      <c r="J42" s="3">
        <v>13</v>
      </c>
      <c r="K42" s="3">
        <v>0</v>
      </c>
      <c r="L42" s="3">
        <v>2097.0300000000002</v>
      </c>
      <c r="M42" s="3" t="s">
        <v>19</v>
      </c>
    </row>
    <row r="43" spans="1:13" x14ac:dyDescent="0.3">
      <c r="A43" s="3" t="s">
        <v>147</v>
      </c>
      <c r="B43" s="4">
        <v>41621</v>
      </c>
      <c r="C43" s="4">
        <v>41625</v>
      </c>
      <c r="D43" s="3" t="s">
        <v>148</v>
      </c>
      <c r="E43" s="3" t="s">
        <v>93</v>
      </c>
      <c r="F43" s="3" t="s">
        <v>94</v>
      </c>
      <c r="G43" s="3" t="s">
        <v>17</v>
      </c>
      <c r="H43" s="3" t="s">
        <v>26</v>
      </c>
      <c r="I43" s="3">
        <v>5785.0199999999904</v>
      </c>
      <c r="J43" s="3">
        <v>9</v>
      </c>
      <c r="K43" s="3">
        <v>0</v>
      </c>
      <c r="L43" s="3">
        <v>404.73</v>
      </c>
      <c r="M43" s="3" t="s">
        <v>37</v>
      </c>
    </row>
    <row r="44" spans="1:13" x14ac:dyDescent="0.3">
      <c r="A44" s="3" t="s">
        <v>149</v>
      </c>
      <c r="B44" s="4">
        <v>41174</v>
      </c>
      <c r="C44" s="4">
        <v>41176</v>
      </c>
      <c r="D44" s="3" t="s">
        <v>150</v>
      </c>
      <c r="E44" s="3" t="s">
        <v>22</v>
      </c>
      <c r="F44" s="3" t="s">
        <v>71</v>
      </c>
      <c r="G44" s="3" t="s">
        <v>45</v>
      </c>
      <c r="H44" s="3" t="s">
        <v>151</v>
      </c>
      <c r="I44" s="3">
        <v>3018.6239999999998</v>
      </c>
      <c r="J44" s="3">
        <v>7</v>
      </c>
      <c r="K44" s="3">
        <v>0.2</v>
      </c>
      <c r="L44" s="3">
        <v>377.24399999999901</v>
      </c>
      <c r="M44" s="3" t="s">
        <v>27</v>
      </c>
    </row>
    <row r="45" spans="1:13" x14ac:dyDescent="0.3">
      <c r="A45" s="3" t="s">
        <v>152</v>
      </c>
      <c r="B45" s="4">
        <v>41719</v>
      </c>
      <c r="C45" s="4">
        <v>41724</v>
      </c>
      <c r="D45" s="3"/>
      <c r="E45" s="3" t="s">
        <v>40</v>
      </c>
      <c r="F45" s="3" t="s">
        <v>153</v>
      </c>
      <c r="G45" s="3" t="s">
        <v>32</v>
      </c>
      <c r="H45" s="3" t="s">
        <v>26</v>
      </c>
      <c r="I45" s="3">
        <v>86.45</v>
      </c>
      <c r="J45" s="3">
        <v>7</v>
      </c>
      <c r="K45" s="3">
        <v>0</v>
      </c>
      <c r="L45" s="3"/>
      <c r="M45" s="3" t="s">
        <v>19</v>
      </c>
    </row>
    <row r="46" spans="1:13" x14ac:dyDescent="0.3">
      <c r="A46" s="3" t="s">
        <v>154</v>
      </c>
      <c r="B46" s="4">
        <v>41706</v>
      </c>
      <c r="C46" s="4">
        <v>41854</v>
      </c>
      <c r="D46" s="3" t="s">
        <v>155</v>
      </c>
      <c r="E46" s="3" t="s">
        <v>70</v>
      </c>
      <c r="F46" s="3" t="s">
        <v>71</v>
      </c>
      <c r="G46" s="3" t="s">
        <v>32</v>
      </c>
      <c r="H46" s="3" t="s">
        <v>73</v>
      </c>
      <c r="I46" s="3">
        <v>2092.49999999999</v>
      </c>
      <c r="J46" s="3">
        <v>5</v>
      </c>
      <c r="K46" s="3">
        <v>0.1</v>
      </c>
      <c r="L46" s="3">
        <v>720.74999999999898</v>
      </c>
      <c r="M46" s="3" t="s">
        <v>27</v>
      </c>
    </row>
    <row r="47" spans="1:13" x14ac:dyDescent="0.3">
      <c r="A47" s="3" t="s">
        <v>156</v>
      </c>
      <c r="B47" s="4">
        <v>42244</v>
      </c>
      <c r="C47" s="4">
        <v>42245</v>
      </c>
      <c r="D47" s="3" t="s">
        <v>157</v>
      </c>
      <c r="E47" s="3" t="s">
        <v>66</v>
      </c>
      <c r="F47" s="3" t="s">
        <v>90</v>
      </c>
      <c r="G47" s="3" t="s">
        <v>32</v>
      </c>
      <c r="H47" s="3" t="s">
        <v>46</v>
      </c>
      <c r="I47" s="3">
        <v>2761.2</v>
      </c>
      <c r="J47" s="3">
        <v>6</v>
      </c>
      <c r="K47" s="3">
        <v>0</v>
      </c>
      <c r="L47" s="3">
        <v>110.34</v>
      </c>
      <c r="M47" s="3" t="s">
        <v>37</v>
      </c>
    </row>
    <row r="48" spans="1:13" x14ac:dyDescent="0.3">
      <c r="A48" s="3" t="s">
        <v>158</v>
      </c>
      <c r="B48" s="4">
        <v>42125</v>
      </c>
      <c r="C48" s="4">
        <v>42125</v>
      </c>
      <c r="D48" s="3" t="s">
        <v>159</v>
      </c>
      <c r="E48" s="3" t="s">
        <v>114</v>
      </c>
      <c r="F48" s="3" t="s">
        <v>115</v>
      </c>
      <c r="G48" s="3" t="s">
        <v>17</v>
      </c>
      <c r="H48" s="3" t="s">
        <v>23</v>
      </c>
      <c r="I48" s="3">
        <v>2174.13</v>
      </c>
      <c r="J48" s="3">
        <v>7</v>
      </c>
      <c r="K48" s="3"/>
      <c r="L48" s="3">
        <v>500.00999999999902</v>
      </c>
      <c r="M48" s="3" t="s">
        <v>27</v>
      </c>
    </row>
    <row r="49" spans="1:13" x14ac:dyDescent="0.3">
      <c r="A49" s="3" t="s">
        <v>160</v>
      </c>
      <c r="B49" s="3" t="s">
        <v>125</v>
      </c>
      <c r="C49" s="4">
        <v>42358</v>
      </c>
      <c r="D49" s="3" t="s">
        <v>161</v>
      </c>
      <c r="E49" s="3" t="s">
        <v>162</v>
      </c>
      <c r="F49" s="3" t="s">
        <v>61</v>
      </c>
      <c r="G49" s="3" t="s">
        <v>32</v>
      </c>
      <c r="H49" s="3" t="s">
        <v>23</v>
      </c>
      <c r="I49" s="3" t="s">
        <v>163</v>
      </c>
      <c r="J49" s="3">
        <v>11</v>
      </c>
      <c r="K49" s="3">
        <v>0</v>
      </c>
      <c r="L49" s="3">
        <v>868.12</v>
      </c>
      <c r="M49" s="3" t="s">
        <v>37</v>
      </c>
    </row>
    <row r="50" spans="1:13" x14ac:dyDescent="0.3">
      <c r="A50" s="3" t="s">
        <v>164</v>
      </c>
      <c r="B50" s="4">
        <v>41206</v>
      </c>
      <c r="C50" s="4">
        <v>41209</v>
      </c>
      <c r="D50" s="3" t="s">
        <v>110</v>
      </c>
      <c r="E50" s="3" t="s">
        <v>40</v>
      </c>
      <c r="F50" s="3" t="s">
        <v>43</v>
      </c>
      <c r="G50" s="3" t="s">
        <v>165</v>
      </c>
      <c r="H50" s="3" t="s">
        <v>127</v>
      </c>
      <c r="I50" s="3">
        <v>49.408000000000001</v>
      </c>
      <c r="J50" s="3">
        <v>4</v>
      </c>
      <c r="K50" s="3">
        <v>0.2</v>
      </c>
      <c r="L50" s="3"/>
      <c r="M50" s="3" t="s">
        <v>37</v>
      </c>
    </row>
    <row r="51" spans="1:13" x14ac:dyDescent="0.3">
      <c r="A51" s="3" t="s">
        <v>166</v>
      </c>
      <c r="B51" s="4">
        <v>42265</v>
      </c>
      <c r="C51" s="4">
        <v>42268</v>
      </c>
      <c r="D51" s="3" t="s">
        <v>167</v>
      </c>
      <c r="E51" s="3" t="s">
        <v>168</v>
      </c>
      <c r="F51" s="3" t="s">
        <v>169</v>
      </c>
      <c r="G51" s="3" t="s">
        <v>17</v>
      </c>
      <c r="H51" s="3" t="s">
        <v>23</v>
      </c>
      <c r="I51" s="3">
        <v>2108.64</v>
      </c>
      <c r="J51" s="3">
        <v>8</v>
      </c>
      <c r="K51" s="3">
        <v>0</v>
      </c>
      <c r="L51" s="3">
        <v>527.04</v>
      </c>
      <c r="M51" s="3" t="s">
        <v>27</v>
      </c>
    </row>
    <row r="52" spans="1:13" x14ac:dyDescent="0.3">
      <c r="A52" s="3" t="s">
        <v>135</v>
      </c>
      <c r="B52" s="4">
        <v>41273</v>
      </c>
      <c r="C52" s="4">
        <v>41274</v>
      </c>
      <c r="D52" s="3" t="s">
        <v>110</v>
      </c>
      <c r="E52" s="3" t="s">
        <v>40</v>
      </c>
      <c r="F52" s="3" t="s">
        <v>111</v>
      </c>
      <c r="G52" s="3" t="s">
        <v>45</v>
      </c>
      <c r="H52" s="3" t="s">
        <v>46</v>
      </c>
      <c r="I52" s="3"/>
      <c r="J52" s="3">
        <v>3</v>
      </c>
      <c r="K52" s="3">
        <v>0</v>
      </c>
      <c r="L52" s="3">
        <v>8.6939999999999902</v>
      </c>
      <c r="M52" s="3" t="s">
        <v>37</v>
      </c>
    </row>
    <row r="53" spans="1:13" x14ac:dyDescent="0.3">
      <c r="A53" s="3" t="s">
        <v>102</v>
      </c>
      <c r="B53" s="3" t="s">
        <v>170</v>
      </c>
      <c r="C53" s="4">
        <v>41262</v>
      </c>
      <c r="D53" s="3" t="s">
        <v>103</v>
      </c>
      <c r="E53" s="3" t="s">
        <v>104</v>
      </c>
      <c r="F53" s="3" t="s">
        <v>90</v>
      </c>
      <c r="G53" s="3" t="s">
        <v>32</v>
      </c>
      <c r="H53" s="3" t="s">
        <v>33</v>
      </c>
      <c r="I53" s="3"/>
      <c r="J53" s="3">
        <v>5</v>
      </c>
      <c r="K53" s="3">
        <v>0</v>
      </c>
      <c r="L53" s="3"/>
      <c r="M53" s="3" t="s">
        <v>27</v>
      </c>
    </row>
    <row r="54" spans="1:13" x14ac:dyDescent="0.3">
      <c r="A54" s="3" t="s">
        <v>171</v>
      </c>
      <c r="B54" s="4">
        <v>41991</v>
      </c>
      <c r="C54" s="4">
        <v>41991</v>
      </c>
      <c r="D54" s="3" t="s">
        <v>172</v>
      </c>
      <c r="E54" s="3" t="s">
        <v>173</v>
      </c>
      <c r="F54" s="3" t="s">
        <v>84</v>
      </c>
      <c r="G54" s="3" t="s">
        <v>17</v>
      </c>
      <c r="H54" s="3" t="s">
        <v>33</v>
      </c>
      <c r="I54" s="3">
        <v>2582.16</v>
      </c>
      <c r="J54" s="3">
        <v>4</v>
      </c>
      <c r="K54" s="3">
        <v>0</v>
      </c>
      <c r="L54" s="3">
        <v>593.88</v>
      </c>
      <c r="M54" s="3"/>
    </row>
    <row r="55" spans="1:13" x14ac:dyDescent="0.3">
      <c r="A55" s="3" t="s">
        <v>174</v>
      </c>
      <c r="B55" s="4">
        <v>41424</v>
      </c>
      <c r="C55" s="4">
        <v>41425</v>
      </c>
      <c r="D55" s="3" t="s">
        <v>175</v>
      </c>
      <c r="E55" s="3" t="s">
        <v>114</v>
      </c>
      <c r="F55" s="3" t="s">
        <v>115</v>
      </c>
      <c r="G55" s="3" t="s">
        <v>17</v>
      </c>
      <c r="H55" s="3" t="s">
        <v>151</v>
      </c>
      <c r="I55" s="3">
        <v>1526.52</v>
      </c>
      <c r="J55" s="3">
        <v>4</v>
      </c>
      <c r="K55" s="3">
        <v>0</v>
      </c>
      <c r="L55" s="3">
        <v>732.72</v>
      </c>
      <c r="M55" s="3" t="s">
        <v>27</v>
      </c>
    </row>
    <row r="56" spans="1:13" x14ac:dyDescent="0.3">
      <c r="A56" s="3" t="s">
        <v>109</v>
      </c>
      <c r="B56" s="4">
        <v>41020</v>
      </c>
      <c r="C56" s="4">
        <v>41022</v>
      </c>
      <c r="D56" s="3" t="s">
        <v>110</v>
      </c>
      <c r="E56" s="3" t="s">
        <v>40</v>
      </c>
      <c r="F56" s="3" t="s">
        <v>176</v>
      </c>
      <c r="G56" s="3"/>
      <c r="H56" s="3" t="s">
        <v>26</v>
      </c>
      <c r="I56" s="3">
        <v>9.9120000000000008</v>
      </c>
      <c r="J56" s="3">
        <v>3</v>
      </c>
      <c r="K56" s="3">
        <v>0.2</v>
      </c>
      <c r="L56" s="3"/>
      <c r="M56" s="3" t="s">
        <v>27</v>
      </c>
    </row>
    <row r="57" spans="1:13" x14ac:dyDescent="0.3">
      <c r="A57" s="3" t="s">
        <v>177</v>
      </c>
      <c r="B57" s="4">
        <v>41419</v>
      </c>
      <c r="C57" s="4">
        <v>41422</v>
      </c>
      <c r="D57" s="3" t="s">
        <v>178</v>
      </c>
      <c r="E57" s="3" t="s">
        <v>114</v>
      </c>
      <c r="F57" s="3" t="s">
        <v>115</v>
      </c>
      <c r="G57" s="3" t="s">
        <v>179</v>
      </c>
      <c r="H57" s="3" t="s">
        <v>33</v>
      </c>
      <c r="I57" s="3">
        <v>1745.34</v>
      </c>
      <c r="J57" s="3">
        <v>2</v>
      </c>
      <c r="K57" s="3">
        <v>0</v>
      </c>
      <c r="L57" s="3">
        <v>226.86</v>
      </c>
      <c r="M57" s="3" t="s">
        <v>27</v>
      </c>
    </row>
    <row r="58" spans="1:13" x14ac:dyDescent="0.3">
      <c r="A58" s="3" t="s">
        <v>180</v>
      </c>
      <c r="B58" s="4">
        <v>42221</v>
      </c>
      <c r="C58" s="4">
        <v>42222</v>
      </c>
      <c r="D58" s="3" t="s">
        <v>181</v>
      </c>
      <c r="E58" s="3" t="s">
        <v>15</v>
      </c>
      <c r="F58" s="3" t="s">
        <v>16</v>
      </c>
      <c r="G58" s="3" t="s">
        <v>45</v>
      </c>
      <c r="H58" s="3" t="s">
        <v>33</v>
      </c>
      <c r="I58" s="3">
        <v>4191.5069999999996</v>
      </c>
      <c r="J58" s="3">
        <v>9</v>
      </c>
      <c r="K58" s="3">
        <v>0.1</v>
      </c>
      <c r="L58" s="3">
        <v>1164.26699999999</v>
      </c>
      <c r="M58" s="3" t="s">
        <v>37</v>
      </c>
    </row>
    <row r="59" spans="1:13" x14ac:dyDescent="0.3">
      <c r="A59" s="3" t="s">
        <v>133</v>
      </c>
      <c r="B59" s="4">
        <v>41041</v>
      </c>
      <c r="C59" s="4">
        <v>41047</v>
      </c>
      <c r="D59" s="3" t="s">
        <v>110</v>
      </c>
      <c r="E59" s="3" t="s">
        <v>40</v>
      </c>
      <c r="F59" s="3" t="s">
        <v>43</v>
      </c>
      <c r="G59" s="3" t="s">
        <v>165</v>
      </c>
      <c r="H59" s="3" t="s">
        <v>44</v>
      </c>
      <c r="I59" s="3">
        <v>8</v>
      </c>
      <c r="J59" s="3">
        <v>2</v>
      </c>
      <c r="K59" s="3"/>
      <c r="L59" s="3">
        <v>3.84</v>
      </c>
      <c r="M59" s="3" t="s">
        <v>19</v>
      </c>
    </row>
    <row r="60" spans="1:13" x14ac:dyDescent="0.3">
      <c r="A60" s="3" t="s">
        <v>182</v>
      </c>
      <c r="B60" s="4">
        <v>42074</v>
      </c>
      <c r="C60" s="3"/>
      <c r="D60" s="3" t="s">
        <v>183</v>
      </c>
      <c r="E60" s="3" t="s">
        <v>184</v>
      </c>
      <c r="F60" s="3" t="s">
        <v>115</v>
      </c>
      <c r="G60" s="3" t="s">
        <v>185</v>
      </c>
      <c r="H60" s="3" t="s">
        <v>73</v>
      </c>
      <c r="I60" s="3">
        <v>3063.27</v>
      </c>
      <c r="J60" s="3">
        <v>7</v>
      </c>
      <c r="K60" s="3">
        <v>0</v>
      </c>
      <c r="L60" s="3">
        <v>581.91</v>
      </c>
      <c r="M60" s="3" t="s">
        <v>37</v>
      </c>
    </row>
    <row r="61" spans="1:13" x14ac:dyDescent="0.3">
      <c r="A61" s="3" t="s">
        <v>186</v>
      </c>
      <c r="B61" s="4">
        <v>42357</v>
      </c>
      <c r="C61" s="4">
        <v>42361</v>
      </c>
      <c r="D61" s="3" t="s">
        <v>110</v>
      </c>
      <c r="E61" s="3" t="s">
        <v>40</v>
      </c>
      <c r="F61" s="3" t="s">
        <v>111</v>
      </c>
      <c r="G61" s="3" t="s">
        <v>45</v>
      </c>
      <c r="H61" s="3" t="s">
        <v>26</v>
      </c>
      <c r="I61" s="3">
        <v>18.704000000000001</v>
      </c>
      <c r="J61" s="3">
        <v>7</v>
      </c>
      <c r="K61" s="3">
        <v>0.2</v>
      </c>
      <c r="L61" s="3">
        <v>2.3379999999999899</v>
      </c>
      <c r="M61" s="3" t="s">
        <v>19</v>
      </c>
    </row>
    <row r="62" spans="1:13" x14ac:dyDescent="0.3">
      <c r="A62" s="3" t="s">
        <v>187</v>
      </c>
      <c r="B62" s="4">
        <v>42227</v>
      </c>
      <c r="C62" s="4">
        <v>42232</v>
      </c>
      <c r="D62" s="3" t="s">
        <v>188</v>
      </c>
      <c r="E62" s="3" t="s">
        <v>22</v>
      </c>
      <c r="F62" s="3" t="s">
        <v>71</v>
      </c>
      <c r="G62" s="3" t="s">
        <v>17</v>
      </c>
      <c r="H62" s="3" t="s">
        <v>151</v>
      </c>
      <c r="I62" s="3">
        <v>4473</v>
      </c>
      <c r="J62" s="3">
        <v>7</v>
      </c>
      <c r="K62" s="3">
        <v>0</v>
      </c>
      <c r="L62" s="3">
        <v>313.11</v>
      </c>
      <c r="M62" s="3" t="s">
        <v>19</v>
      </c>
    </row>
    <row r="63" spans="1:13" x14ac:dyDescent="0.3">
      <c r="A63" s="3" t="s">
        <v>189</v>
      </c>
      <c r="B63" s="4">
        <v>41882</v>
      </c>
      <c r="C63" s="4">
        <v>41885</v>
      </c>
      <c r="D63" s="3" t="s">
        <v>190</v>
      </c>
      <c r="E63" s="3" t="s">
        <v>22</v>
      </c>
      <c r="F63" s="3" t="s">
        <v>71</v>
      </c>
      <c r="G63" s="3" t="s">
        <v>17</v>
      </c>
      <c r="H63" s="3" t="s">
        <v>127</v>
      </c>
      <c r="I63" s="3">
        <v>1502.01</v>
      </c>
      <c r="J63" s="3">
        <v>9</v>
      </c>
      <c r="K63" s="3">
        <v>0</v>
      </c>
      <c r="L63" s="3">
        <v>225.18</v>
      </c>
      <c r="M63" s="3" t="s">
        <v>27</v>
      </c>
    </row>
    <row r="64" spans="1:13" x14ac:dyDescent="0.3">
      <c r="A64" s="3" t="s">
        <v>191</v>
      </c>
      <c r="B64" s="4">
        <v>42022</v>
      </c>
      <c r="C64" s="4">
        <v>42027</v>
      </c>
      <c r="D64" s="3" t="s">
        <v>192</v>
      </c>
      <c r="E64" s="3" t="s">
        <v>66</v>
      </c>
      <c r="F64" s="3" t="s">
        <v>90</v>
      </c>
      <c r="G64" s="3" t="s">
        <v>32</v>
      </c>
      <c r="H64" s="3" t="s">
        <v>26</v>
      </c>
      <c r="I64" s="3">
        <v>5048.99999999999</v>
      </c>
      <c r="J64" s="3">
        <v>11</v>
      </c>
      <c r="K64" s="3">
        <v>0</v>
      </c>
      <c r="L64" s="3">
        <v>3799.5593480469101</v>
      </c>
      <c r="M64" s="3" t="s">
        <v>37</v>
      </c>
    </row>
    <row r="65" spans="1:13" x14ac:dyDescent="0.3">
      <c r="A65" s="3" t="s">
        <v>193</v>
      </c>
      <c r="B65" s="4">
        <v>42007</v>
      </c>
      <c r="C65" s="3"/>
      <c r="D65" s="3" t="s">
        <v>194</v>
      </c>
      <c r="E65" s="3" t="s">
        <v>40</v>
      </c>
      <c r="F65" s="3" t="s">
        <v>153</v>
      </c>
      <c r="G65" s="3" t="s">
        <v>17</v>
      </c>
      <c r="H65" s="3" t="s">
        <v>26</v>
      </c>
      <c r="I65" s="3">
        <v>695.7</v>
      </c>
      <c r="J65" s="3"/>
      <c r="K65" s="3"/>
      <c r="L65" s="3">
        <v>-27.8279999999999</v>
      </c>
      <c r="M65" s="3" t="s">
        <v>37</v>
      </c>
    </row>
    <row r="66" spans="1:13" x14ac:dyDescent="0.3">
      <c r="A66" s="3" t="s">
        <v>195</v>
      </c>
      <c r="B66" s="4">
        <v>42345</v>
      </c>
      <c r="C66" s="4">
        <v>42228</v>
      </c>
      <c r="D66" s="3" t="s">
        <v>196</v>
      </c>
      <c r="E66" s="3" t="s">
        <v>197</v>
      </c>
      <c r="F66" s="3" t="s">
        <v>77</v>
      </c>
      <c r="G66" s="3" t="s">
        <v>32</v>
      </c>
      <c r="H66" s="3" t="s">
        <v>23</v>
      </c>
      <c r="I66" s="3">
        <v>2188.0500000000002</v>
      </c>
      <c r="J66" s="3">
        <v>5</v>
      </c>
      <c r="K66" s="3">
        <v>0</v>
      </c>
      <c r="L66" s="3">
        <v>1050.1500000000001</v>
      </c>
      <c r="M66" s="3" t="s">
        <v>37</v>
      </c>
    </row>
    <row r="67" spans="1:13" x14ac:dyDescent="0.3">
      <c r="A67" s="3" t="s">
        <v>198</v>
      </c>
      <c r="B67" s="3"/>
      <c r="C67" s="4">
        <v>42357</v>
      </c>
      <c r="D67" s="3" t="s">
        <v>199</v>
      </c>
      <c r="E67" s="3" t="s">
        <v>114</v>
      </c>
      <c r="F67" s="3" t="s">
        <v>115</v>
      </c>
      <c r="G67" s="3" t="s">
        <v>32</v>
      </c>
      <c r="H67" s="3" t="s">
        <v>73</v>
      </c>
      <c r="I67" s="3">
        <v>1920.36</v>
      </c>
      <c r="J67" s="3">
        <v>4</v>
      </c>
      <c r="K67" s="3">
        <v>0</v>
      </c>
      <c r="L67" s="3">
        <v>652.91999999999996</v>
      </c>
      <c r="M67" s="3" t="s">
        <v>27</v>
      </c>
    </row>
    <row r="68" spans="1:13" x14ac:dyDescent="0.3">
      <c r="A68" s="3" t="s">
        <v>200</v>
      </c>
      <c r="B68" s="4">
        <v>42328</v>
      </c>
      <c r="C68" s="4">
        <v>42328</v>
      </c>
      <c r="D68" s="3" t="s">
        <v>201</v>
      </c>
      <c r="E68" s="3" t="s">
        <v>97</v>
      </c>
      <c r="F68" s="3" t="s">
        <v>98</v>
      </c>
      <c r="G68" s="3" t="s">
        <v>17</v>
      </c>
      <c r="H68" s="3" t="s">
        <v>151</v>
      </c>
      <c r="I68" s="3">
        <v>1704</v>
      </c>
      <c r="J68" s="3">
        <v>4</v>
      </c>
      <c r="K68" s="3">
        <v>0</v>
      </c>
      <c r="L68" s="3">
        <v>119.28</v>
      </c>
      <c r="M68" s="3" t="s">
        <v>27</v>
      </c>
    </row>
    <row r="69" spans="1:13" x14ac:dyDescent="0.3">
      <c r="A69" s="3" t="s">
        <v>202</v>
      </c>
      <c r="B69" s="4">
        <v>41221</v>
      </c>
      <c r="C69" s="4">
        <v>41223</v>
      </c>
      <c r="D69" s="3" t="s">
        <v>203</v>
      </c>
      <c r="E69" s="3" t="s">
        <v>204</v>
      </c>
      <c r="F69" s="3" t="s">
        <v>205</v>
      </c>
      <c r="G69" s="3" t="s">
        <v>32</v>
      </c>
      <c r="H69" s="3" t="s">
        <v>44</v>
      </c>
      <c r="I69" s="3">
        <v>1858.68</v>
      </c>
      <c r="J69" s="3">
        <v>4</v>
      </c>
      <c r="K69" s="3">
        <v>0</v>
      </c>
      <c r="L69" s="3"/>
      <c r="M69" s="3" t="s">
        <v>27</v>
      </c>
    </row>
    <row r="70" spans="1:13" x14ac:dyDescent="0.3">
      <c r="A70" s="3" t="s">
        <v>206</v>
      </c>
      <c r="B70" s="4">
        <v>41826</v>
      </c>
      <c r="C70" s="4">
        <v>41799</v>
      </c>
      <c r="D70" s="3" t="s">
        <v>207</v>
      </c>
      <c r="E70" s="3" t="s">
        <v>208</v>
      </c>
      <c r="F70" s="3" t="s">
        <v>90</v>
      </c>
      <c r="G70" s="3" t="s">
        <v>32</v>
      </c>
      <c r="H70" s="3" t="s">
        <v>26</v>
      </c>
      <c r="I70" s="3">
        <v>3298.2599999999902</v>
      </c>
      <c r="J70" s="3">
        <v>7</v>
      </c>
      <c r="K70" s="3">
        <v>0</v>
      </c>
      <c r="L70" s="3">
        <v>1055.25</v>
      </c>
      <c r="M70" s="3" t="s">
        <v>37</v>
      </c>
    </row>
    <row r="71" spans="1:13" x14ac:dyDescent="0.3">
      <c r="A71" s="3" t="s">
        <v>209</v>
      </c>
      <c r="B71" s="4">
        <v>41234</v>
      </c>
      <c r="C71" s="4">
        <v>41235</v>
      </c>
      <c r="D71" s="3" t="s">
        <v>210</v>
      </c>
      <c r="E71" s="3" t="s">
        <v>211</v>
      </c>
      <c r="F71" s="3" t="s">
        <v>98</v>
      </c>
      <c r="G71" s="3" t="s">
        <v>45</v>
      </c>
      <c r="H71" s="3" t="s">
        <v>44</v>
      </c>
      <c r="I71" s="3">
        <v>2443.48</v>
      </c>
      <c r="J71" s="3">
        <v>13</v>
      </c>
      <c r="K71" s="3">
        <v>0</v>
      </c>
      <c r="L71" s="3" t="s">
        <v>212</v>
      </c>
      <c r="M71" s="3" t="s">
        <v>19</v>
      </c>
    </row>
    <row r="72" spans="1:13" x14ac:dyDescent="0.3">
      <c r="A72" s="3" t="s">
        <v>213</v>
      </c>
      <c r="B72" s="4">
        <v>41727</v>
      </c>
      <c r="C72" s="4">
        <v>41729</v>
      </c>
      <c r="D72" s="3" t="s">
        <v>214</v>
      </c>
      <c r="E72" s="3" t="s">
        <v>130</v>
      </c>
      <c r="F72" s="3" t="s">
        <v>131</v>
      </c>
      <c r="G72" s="3" t="s">
        <v>32</v>
      </c>
      <c r="H72" s="3" t="s">
        <v>23</v>
      </c>
      <c r="I72" s="3"/>
      <c r="J72" s="3">
        <v>8</v>
      </c>
      <c r="K72" s="3">
        <v>0</v>
      </c>
      <c r="L72" s="3">
        <v>1523.52</v>
      </c>
      <c r="M72" s="3" t="s">
        <v>37</v>
      </c>
    </row>
    <row r="73" spans="1:13" x14ac:dyDescent="0.3">
      <c r="A73" s="3" t="s">
        <v>215</v>
      </c>
      <c r="B73" s="4">
        <v>42242</v>
      </c>
      <c r="C73" s="4">
        <v>42243</v>
      </c>
      <c r="D73" s="3" t="s">
        <v>216</v>
      </c>
      <c r="E73" s="3" t="s">
        <v>141</v>
      </c>
      <c r="F73" s="3" t="s">
        <v>142</v>
      </c>
      <c r="G73" s="3" t="s">
        <v>32</v>
      </c>
      <c r="H73" s="3" t="s">
        <v>73</v>
      </c>
      <c r="I73" s="3">
        <v>3427.1495999999902</v>
      </c>
      <c r="J73" s="3">
        <v>7</v>
      </c>
      <c r="K73" s="3"/>
      <c r="L73" s="3">
        <v>-452.81039999999899</v>
      </c>
      <c r="M73" s="3" t="s">
        <v>37</v>
      </c>
    </row>
    <row r="74" spans="1:13" x14ac:dyDescent="0.3">
      <c r="A74" s="3" t="s">
        <v>217</v>
      </c>
      <c r="B74" s="4">
        <v>41537</v>
      </c>
      <c r="C74" s="4">
        <v>41539</v>
      </c>
      <c r="D74" s="3" t="s">
        <v>218</v>
      </c>
      <c r="E74" s="3" t="s">
        <v>93</v>
      </c>
      <c r="F74" s="3"/>
      <c r="G74" s="3" t="s">
        <v>17</v>
      </c>
      <c r="H74" s="3" t="s">
        <v>23</v>
      </c>
      <c r="I74" s="3">
        <v>3441.69</v>
      </c>
      <c r="J74" s="3"/>
      <c r="K74" s="3">
        <v>0.1</v>
      </c>
      <c r="L74" s="3">
        <v>38.069999999999901</v>
      </c>
      <c r="M74" s="3" t="s">
        <v>37</v>
      </c>
    </row>
    <row r="75" spans="1:13" x14ac:dyDescent="0.3">
      <c r="A75" s="3" t="s">
        <v>219</v>
      </c>
      <c r="B75" s="4">
        <v>42140</v>
      </c>
      <c r="C75" s="4">
        <v>42142</v>
      </c>
      <c r="D75" s="3" t="s">
        <v>161</v>
      </c>
      <c r="E75" s="3" t="s">
        <v>15</v>
      </c>
      <c r="F75" s="3" t="s">
        <v>16</v>
      </c>
      <c r="G75" s="3" t="s">
        <v>17</v>
      </c>
      <c r="H75" s="3" t="s">
        <v>44</v>
      </c>
      <c r="I75" s="3">
        <v>2863.35</v>
      </c>
      <c r="J75" s="3">
        <v>5</v>
      </c>
      <c r="K75" s="3">
        <v>0.1</v>
      </c>
      <c r="L75" s="3">
        <v>858.9</v>
      </c>
      <c r="M75" s="3" t="s">
        <v>220</v>
      </c>
    </row>
    <row r="76" spans="1:13" x14ac:dyDescent="0.3">
      <c r="A76" s="3"/>
      <c r="B76" s="4">
        <v>42218</v>
      </c>
      <c r="C76" s="4">
        <v>42224</v>
      </c>
      <c r="D76" s="3" t="s">
        <v>194</v>
      </c>
      <c r="E76" s="3" t="s">
        <v>40</v>
      </c>
      <c r="F76" s="3" t="s">
        <v>41</v>
      </c>
      <c r="G76" s="3" t="s">
        <v>17</v>
      </c>
      <c r="H76" s="3" t="s">
        <v>26</v>
      </c>
      <c r="I76" s="3"/>
      <c r="J76" s="3">
        <v>3</v>
      </c>
      <c r="K76" s="3">
        <v>0.4</v>
      </c>
      <c r="L76" s="3">
        <v>-263.99669999999998</v>
      </c>
      <c r="M76" s="3" t="s">
        <v>19</v>
      </c>
    </row>
    <row r="77" spans="1:13" x14ac:dyDescent="0.3">
      <c r="A77" s="3" t="s">
        <v>221</v>
      </c>
      <c r="B77" s="4">
        <v>41967</v>
      </c>
      <c r="C77" s="4">
        <v>41968</v>
      </c>
      <c r="D77" s="3" t="s">
        <v>222</v>
      </c>
      <c r="E77" s="3"/>
      <c r="F77" s="3" t="s">
        <v>71</v>
      </c>
      <c r="G77" s="3" t="s">
        <v>223</v>
      </c>
      <c r="H77" s="3" t="s">
        <v>26</v>
      </c>
      <c r="I77" s="3">
        <v>1487.4</v>
      </c>
      <c r="J77" s="3">
        <v>10</v>
      </c>
      <c r="K77" s="3">
        <v>0</v>
      </c>
      <c r="L77" s="3">
        <v>728.7</v>
      </c>
      <c r="M77" s="3" t="s">
        <v>27</v>
      </c>
    </row>
    <row r="78" spans="1:13" x14ac:dyDescent="0.3">
      <c r="A78" s="3" t="s">
        <v>224</v>
      </c>
      <c r="B78" s="4">
        <v>41221</v>
      </c>
      <c r="C78" s="4">
        <v>41223</v>
      </c>
      <c r="D78" s="3" t="s">
        <v>225</v>
      </c>
      <c r="E78" s="3" t="s">
        <v>66</v>
      </c>
      <c r="F78" s="3" t="s">
        <v>90</v>
      </c>
      <c r="G78" s="3" t="s">
        <v>17</v>
      </c>
      <c r="H78" s="3" t="s">
        <v>46</v>
      </c>
      <c r="I78" s="3">
        <v>3200.04</v>
      </c>
      <c r="J78" s="3">
        <v>9</v>
      </c>
      <c r="K78" s="3" t="s">
        <v>226</v>
      </c>
      <c r="L78" s="3">
        <v>1183.95</v>
      </c>
      <c r="M78" s="3" t="s">
        <v>227</v>
      </c>
    </row>
    <row r="79" spans="1:13" x14ac:dyDescent="0.3">
      <c r="A79" s="3" t="s">
        <v>228</v>
      </c>
      <c r="B79" s="4">
        <v>41209</v>
      </c>
      <c r="C79" s="4">
        <v>41209</v>
      </c>
      <c r="D79" s="3" t="s">
        <v>229</v>
      </c>
      <c r="E79" s="3" t="s">
        <v>114</v>
      </c>
      <c r="F79" s="3" t="s">
        <v>115</v>
      </c>
      <c r="G79" s="3"/>
      <c r="H79" s="3" t="s">
        <v>33</v>
      </c>
      <c r="I79" s="3">
        <v>2300.99999999999</v>
      </c>
      <c r="J79" s="3">
        <v>5</v>
      </c>
      <c r="K79" s="3">
        <v>0</v>
      </c>
      <c r="L79" s="3">
        <v>91.95</v>
      </c>
      <c r="M79" s="3" t="s">
        <v>27</v>
      </c>
    </row>
    <row r="80" spans="1:13" x14ac:dyDescent="0.3">
      <c r="A80" s="3"/>
      <c r="B80" s="4">
        <v>42327</v>
      </c>
      <c r="C80" s="4">
        <v>42331</v>
      </c>
      <c r="D80" s="3" t="s">
        <v>230</v>
      </c>
      <c r="E80" s="3" t="s">
        <v>70</v>
      </c>
      <c r="F80" s="3" t="s">
        <v>71</v>
      </c>
      <c r="G80" s="3" t="s">
        <v>32</v>
      </c>
      <c r="H80" s="3" t="s">
        <v>33</v>
      </c>
      <c r="I80" s="3">
        <v>5729.3459999999905</v>
      </c>
      <c r="J80" s="3">
        <v>14</v>
      </c>
      <c r="K80" s="3">
        <v>0.1</v>
      </c>
      <c r="L80" s="3">
        <v>63.546000000000099</v>
      </c>
      <c r="M80" s="3" t="s">
        <v>37</v>
      </c>
    </row>
    <row r="81" spans="1:13" x14ac:dyDescent="0.3">
      <c r="A81" s="3" t="s">
        <v>231</v>
      </c>
      <c r="B81" s="4">
        <v>42305</v>
      </c>
      <c r="C81" s="4">
        <v>42307</v>
      </c>
      <c r="D81" s="3" t="s">
        <v>126</v>
      </c>
      <c r="E81" s="3" t="s">
        <v>232</v>
      </c>
      <c r="F81" s="3" t="s">
        <v>233</v>
      </c>
      <c r="G81" s="3" t="s">
        <v>17</v>
      </c>
      <c r="H81" s="3" t="s">
        <v>23</v>
      </c>
      <c r="I81" s="3">
        <v>5301.24</v>
      </c>
      <c r="J81" s="3">
        <v>14</v>
      </c>
      <c r="K81" s="3">
        <v>0</v>
      </c>
      <c r="L81" s="3">
        <v>2597.2800000000002</v>
      </c>
      <c r="M81" s="3" t="s">
        <v>19</v>
      </c>
    </row>
    <row r="82" spans="1:13" x14ac:dyDescent="0.3">
      <c r="A82" s="3"/>
      <c r="B82" s="4">
        <v>41908</v>
      </c>
      <c r="C82" s="4">
        <v>41910</v>
      </c>
      <c r="D82" s="3" t="s">
        <v>194</v>
      </c>
      <c r="E82" s="3" t="s">
        <v>40</v>
      </c>
      <c r="F82" s="3" t="s">
        <v>43</v>
      </c>
      <c r="G82" s="3" t="s">
        <v>32</v>
      </c>
      <c r="H82" s="3" t="s">
        <v>23</v>
      </c>
      <c r="I82" s="3">
        <v>477.666</v>
      </c>
      <c r="J82" s="3">
        <v>2</v>
      </c>
      <c r="K82" s="3">
        <v>0.15</v>
      </c>
      <c r="L82" s="3">
        <v>84.293999999999897</v>
      </c>
      <c r="M82" s="3" t="s">
        <v>27</v>
      </c>
    </row>
    <row r="83" spans="1:13" x14ac:dyDescent="0.3">
      <c r="A83" s="3" t="s">
        <v>234</v>
      </c>
      <c r="B83" s="4">
        <v>42252</v>
      </c>
      <c r="C83" s="4">
        <v>42253</v>
      </c>
      <c r="D83" s="3" t="s">
        <v>235</v>
      </c>
      <c r="E83" s="3" t="s">
        <v>40</v>
      </c>
      <c r="F83" s="3" t="s">
        <v>43</v>
      </c>
      <c r="G83" s="3" t="s">
        <v>45</v>
      </c>
      <c r="H83" s="3" t="s">
        <v>33</v>
      </c>
      <c r="I83" s="3">
        <v>88.073999999999998</v>
      </c>
      <c r="J83" s="3">
        <v>7</v>
      </c>
      <c r="K83" s="3">
        <v>0.7</v>
      </c>
      <c r="L83" s="3">
        <v>-58.715999999999902</v>
      </c>
      <c r="M83" s="3" t="s">
        <v>37</v>
      </c>
    </row>
    <row r="84" spans="1:13" x14ac:dyDescent="0.3">
      <c r="A84" s="3"/>
      <c r="B84" s="4">
        <v>41668</v>
      </c>
      <c r="C84" s="4">
        <v>41675</v>
      </c>
      <c r="D84" s="3" t="s">
        <v>140</v>
      </c>
      <c r="E84" s="3" t="s">
        <v>22</v>
      </c>
      <c r="F84" s="3" t="s">
        <v>71</v>
      </c>
      <c r="G84" s="3" t="s">
        <v>17</v>
      </c>
      <c r="H84" s="3" t="s">
        <v>46</v>
      </c>
      <c r="I84" s="3">
        <v>3219.9</v>
      </c>
      <c r="J84" s="3">
        <v>5</v>
      </c>
      <c r="K84" s="3"/>
      <c r="L84" s="3">
        <v>965.85</v>
      </c>
      <c r="M84" s="3" t="s">
        <v>74</v>
      </c>
    </row>
    <row r="85" spans="1:13" x14ac:dyDescent="0.3">
      <c r="A85" s="3" t="s">
        <v>236</v>
      </c>
      <c r="B85" s="4">
        <v>41535</v>
      </c>
      <c r="C85" s="4">
        <v>41538</v>
      </c>
      <c r="D85" s="3" t="s">
        <v>237</v>
      </c>
      <c r="E85" s="3" t="s">
        <v>141</v>
      </c>
      <c r="F85" s="3" t="s">
        <v>142</v>
      </c>
      <c r="G85" s="3" t="s">
        <v>45</v>
      </c>
      <c r="H85" s="3" t="s">
        <v>23</v>
      </c>
      <c r="I85" s="3">
        <v>2487.8087999999998</v>
      </c>
      <c r="J85" s="3"/>
      <c r="K85" s="3">
        <v>0.17</v>
      </c>
      <c r="L85" s="3">
        <v>-269.7912</v>
      </c>
      <c r="M85" s="3" t="s">
        <v>27</v>
      </c>
    </row>
    <row r="86" spans="1:13" x14ac:dyDescent="0.3">
      <c r="A86" s="3" t="s">
        <v>238</v>
      </c>
      <c r="B86" s="4">
        <v>41966</v>
      </c>
      <c r="C86" s="4">
        <v>41966</v>
      </c>
      <c r="D86" s="3" t="s">
        <v>239</v>
      </c>
      <c r="E86" s="3" t="s">
        <v>232</v>
      </c>
      <c r="F86" s="3" t="s">
        <v>233</v>
      </c>
      <c r="G86" s="3" t="s">
        <v>45</v>
      </c>
      <c r="H86" s="3" t="s">
        <v>26</v>
      </c>
      <c r="I86" s="3">
        <v>2266.44</v>
      </c>
      <c r="J86" s="3">
        <v>4</v>
      </c>
      <c r="K86" s="3">
        <v>0</v>
      </c>
      <c r="L86" s="3">
        <v>113.28</v>
      </c>
      <c r="M86" s="3" t="s">
        <v>19</v>
      </c>
    </row>
    <row r="87" spans="1:13" x14ac:dyDescent="0.3">
      <c r="A87" s="3"/>
      <c r="B87" s="4">
        <v>41438</v>
      </c>
      <c r="C87" s="4">
        <v>41438</v>
      </c>
      <c r="D87" s="3" t="s">
        <v>240</v>
      </c>
      <c r="E87" s="3" t="s">
        <v>15</v>
      </c>
      <c r="F87" s="3" t="s">
        <v>16</v>
      </c>
      <c r="G87" s="3" t="s">
        <v>17</v>
      </c>
      <c r="H87" s="3" t="s">
        <v>73</v>
      </c>
      <c r="I87" s="3">
        <v>3068.3609999999999</v>
      </c>
      <c r="J87" s="3"/>
      <c r="K87" s="3">
        <v>0.1</v>
      </c>
      <c r="L87" s="3">
        <v>1124.9009999999901</v>
      </c>
      <c r="M87" s="3" t="s">
        <v>37</v>
      </c>
    </row>
    <row r="88" spans="1:13" x14ac:dyDescent="0.3">
      <c r="A88" s="3" t="s">
        <v>241</v>
      </c>
      <c r="B88" s="4">
        <v>41940</v>
      </c>
      <c r="C88" s="4">
        <v>41943</v>
      </c>
      <c r="D88" s="3" t="s">
        <v>242</v>
      </c>
      <c r="E88" s="3" t="s">
        <v>184</v>
      </c>
      <c r="F88" s="3" t="s">
        <v>115</v>
      </c>
      <c r="G88" s="3" t="s">
        <v>32</v>
      </c>
      <c r="H88" s="3" t="s">
        <v>73</v>
      </c>
      <c r="I88" s="3">
        <v>3728.4299999999898</v>
      </c>
      <c r="J88" s="3">
        <v>9</v>
      </c>
      <c r="K88" s="3">
        <v>0</v>
      </c>
      <c r="L88" s="3">
        <v>1192.8599999999999</v>
      </c>
      <c r="M88" s="3" t="s">
        <v>19</v>
      </c>
    </row>
    <row r="89" spans="1:13" x14ac:dyDescent="0.3">
      <c r="A89" s="3"/>
      <c r="B89" s="4">
        <v>41985</v>
      </c>
      <c r="C89" s="4">
        <v>41987</v>
      </c>
      <c r="D89" s="3"/>
      <c r="E89" s="3" t="s">
        <v>66</v>
      </c>
      <c r="F89" s="3" t="s">
        <v>90</v>
      </c>
      <c r="G89" s="3" t="s">
        <v>17</v>
      </c>
      <c r="H89" s="3" t="s">
        <v>33</v>
      </c>
      <c r="I89" s="3">
        <v>1581.48</v>
      </c>
      <c r="J89" s="3"/>
      <c r="K89" s="3">
        <v>0</v>
      </c>
      <c r="L89" s="3">
        <v>0</v>
      </c>
      <c r="M89" s="3" t="s">
        <v>37</v>
      </c>
    </row>
    <row r="90" spans="1:13" x14ac:dyDescent="0.3">
      <c r="A90" s="3" t="s">
        <v>243</v>
      </c>
      <c r="B90" s="4">
        <v>41419</v>
      </c>
      <c r="C90" s="4">
        <v>41422</v>
      </c>
      <c r="D90" s="3" t="s">
        <v>178</v>
      </c>
      <c r="E90" s="3" t="s">
        <v>114</v>
      </c>
      <c r="F90" s="3" t="s">
        <v>115</v>
      </c>
      <c r="G90" s="3" t="s">
        <v>17</v>
      </c>
      <c r="H90" s="3" t="s">
        <v>151</v>
      </c>
      <c r="I90" s="3">
        <v>1916.73</v>
      </c>
      <c r="J90" s="3">
        <v>3</v>
      </c>
      <c r="K90" s="3">
        <v>0</v>
      </c>
      <c r="L90" s="3">
        <v>498.32999999999902</v>
      </c>
      <c r="M90" s="3" t="s">
        <v>27</v>
      </c>
    </row>
    <row r="91" spans="1:13" x14ac:dyDescent="0.3">
      <c r="A91" s="3" t="s">
        <v>244</v>
      </c>
      <c r="B91" s="4">
        <v>42281</v>
      </c>
      <c r="C91" s="4">
        <v>42286</v>
      </c>
      <c r="D91" s="3" t="s">
        <v>194</v>
      </c>
      <c r="E91" s="3" t="s">
        <v>40</v>
      </c>
      <c r="F91" s="3" t="s">
        <v>245</v>
      </c>
      <c r="G91" s="3" t="s">
        <v>32</v>
      </c>
      <c r="H91" s="3" t="s">
        <v>33</v>
      </c>
      <c r="I91" s="3">
        <v>171.28800000000001</v>
      </c>
      <c r="J91" s="3">
        <v>3</v>
      </c>
      <c r="K91" s="3">
        <v>1.4339994914666701</v>
      </c>
      <c r="L91" s="3">
        <v>-6.4233000000000198</v>
      </c>
      <c r="M91" s="3" t="s">
        <v>19</v>
      </c>
    </row>
    <row r="92" spans="1:13" x14ac:dyDescent="0.3">
      <c r="A92" s="3" t="s">
        <v>246</v>
      </c>
      <c r="B92" s="4">
        <v>41975</v>
      </c>
      <c r="C92" s="3"/>
      <c r="D92" s="3" t="s">
        <v>247</v>
      </c>
      <c r="E92" s="3" t="s">
        <v>70</v>
      </c>
      <c r="F92" s="3" t="s">
        <v>71</v>
      </c>
      <c r="G92" s="3" t="s">
        <v>45</v>
      </c>
      <c r="H92" s="3" t="s">
        <v>26</v>
      </c>
      <c r="I92" s="3">
        <v>2432.16</v>
      </c>
      <c r="J92" s="3">
        <v>5</v>
      </c>
      <c r="K92" s="3">
        <v>0.1</v>
      </c>
      <c r="L92" s="3">
        <v>513.36</v>
      </c>
      <c r="M92" s="3" t="s">
        <v>27</v>
      </c>
    </row>
    <row r="93" spans="1:13" x14ac:dyDescent="0.3">
      <c r="A93" s="3" t="s">
        <v>193</v>
      </c>
      <c r="B93" s="3"/>
      <c r="C93" s="4">
        <v>42009</v>
      </c>
      <c r="D93" s="3"/>
      <c r="E93" s="3" t="s">
        <v>40</v>
      </c>
      <c r="F93" s="3" t="s">
        <v>153</v>
      </c>
      <c r="G93" s="3" t="s">
        <v>45</v>
      </c>
      <c r="H93" s="3" t="s">
        <v>44</v>
      </c>
      <c r="I93" s="3">
        <v>28.853999999999999</v>
      </c>
      <c r="J93" s="3">
        <v>6</v>
      </c>
      <c r="K93" s="3">
        <v>0.7</v>
      </c>
      <c r="L93" s="3">
        <v>-21.159599999999902</v>
      </c>
      <c r="M93" s="3" t="s">
        <v>37</v>
      </c>
    </row>
    <row r="94" spans="1:13" x14ac:dyDescent="0.3">
      <c r="A94" s="3" t="s">
        <v>248</v>
      </c>
      <c r="B94" s="4">
        <v>41667</v>
      </c>
      <c r="C94" s="4">
        <v>41669</v>
      </c>
      <c r="D94" s="3" t="s">
        <v>249</v>
      </c>
      <c r="E94" s="3" t="s">
        <v>250</v>
      </c>
      <c r="F94" s="3" t="s">
        <v>142</v>
      </c>
      <c r="G94" s="3" t="s">
        <v>32</v>
      </c>
      <c r="H94" s="3" t="s">
        <v>73</v>
      </c>
      <c r="I94" s="3" t="s">
        <v>163</v>
      </c>
      <c r="J94" s="3">
        <v>7</v>
      </c>
      <c r="K94" s="3">
        <v>0.25</v>
      </c>
      <c r="L94" s="3" t="s">
        <v>251</v>
      </c>
      <c r="M94" s="3" t="s">
        <v>37</v>
      </c>
    </row>
    <row r="95" spans="1:13" x14ac:dyDescent="0.3">
      <c r="A95" s="3" t="s">
        <v>252</v>
      </c>
      <c r="B95" s="4">
        <v>41401</v>
      </c>
      <c r="C95" s="4">
        <v>41401</v>
      </c>
      <c r="D95" s="3" t="s">
        <v>253</v>
      </c>
      <c r="E95" s="3"/>
      <c r="F95" s="3" t="s">
        <v>16</v>
      </c>
      <c r="G95" s="3" t="s">
        <v>254</v>
      </c>
      <c r="H95" s="3" t="s">
        <v>26</v>
      </c>
      <c r="I95" s="3">
        <v>1847.51999999999</v>
      </c>
      <c r="J95" s="3">
        <v>2</v>
      </c>
      <c r="K95" s="3">
        <v>0</v>
      </c>
      <c r="L95" s="3">
        <v>738.96</v>
      </c>
      <c r="M95" s="3" t="s">
        <v>37</v>
      </c>
    </row>
    <row r="96" spans="1:13" x14ac:dyDescent="0.3">
      <c r="A96" s="3"/>
      <c r="B96" s="4">
        <v>41970</v>
      </c>
      <c r="C96" s="4">
        <v>41972</v>
      </c>
      <c r="D96" s="3" t="s">
        <v>255</v>
      </c>
      <c r="E96" s="3" t="s">
        <v>256</v>
      </c>
      <c r="F96" s="3" t="s">
        <v>71</v>
      </c>
      <c r="G96" s="3" t="s">
        <v>32</v>
      </c>
      <c r="H96" s="3" t="s">
        <v>23</v>
      </c>
      <c r="I96" s="3">
        <v>2899.8899999999899</v>
      </c>
      <c r="J96" s="3">
        <v>7</v>
      </c>
      <c r="K96" s="3">
        <v>0</v>
      </c>
      <c r="L96" s="3">
        <v>927.78</v>
      </c>
      <c r="M96" s="3" t="s">
        <v>37</v>
      </c>
    </row>
    <row r="97" spans="1:13" x14ac:dyDescent="0.3">
      <c r="A97" s="3" t="s">
        <v>257</v>
      </c>
      <c r="B97" s="4">
        <v>41606</v>
      </c>
      <c r="C97" s="4">
        <v>41610</v>
      </c>
      <c r="D97" s="3" t="s">
        <v>247</v>
      </c>
      <c r="E97" s="3" t="s">
        <v>15</v>
      </c>
      <c r="F97" s="3" t="s">
        <v>16</v>
      </c>
      <c r="G97" s="3" t="s">
        <v>32</v>
      </c>
      <c r="H97" s="3" t="s">
        <v>44</v>
      </c>
      <c r="I97" s="3">
        <v>2891.6999999999898</v>
      </c>
      <c r="J97" s="3">
        <v>7</v>
      </c>
      <c r="K97" s="3">
        <v>0.1</v>
      </c>
      <c r="L97" s="3">
        <v>96.39</v>
      </c>
      <c r="M97" s="3" t="s">
        <v>19</v>
      </c>
    </row>
    <row r="98" spans="1:13" x14ac:dyDescent="0.3">
      <c r="A98" s="3" t="s">
        <v>258</v>
      </c>
      <c r="B98" s="4">
        <v>41546</v>
      </c>
      <c r="C98" s="4">
        <v>41546</v>
      </c>
      <c r="D98" s="3" t="s">
        <v>259</v>
      </c>
      <c r="E98" s="3" t="s">
        <v>70</v>
      </c>
      <c r="F98" s="3" t="s">
        <v>71</v>
      </c>
      <c r="G98" s="3" t="s">
        <v>17</v>
      </c>
      <c r="H98" s="3" t="s">
        <v>151</v>
      </c>
      <c r="I98" s="3">
        <v>2016.846</v>
      </c>
      <c r="J98" s="3">
        <v>9</v>
      </c>
      <c r="K98" s="3">
        <v>0.15</v>
      </c>
      <c r="L98" s="3">
        <v>-5.4000000000030399E-2</v>
      </c>
      <c r="M98" s="3" t="s">
        <v>27</v>
      </c>
    </row>
    <row r="99" spans="1:13" x14ac:dyDescent="0.3">
      <c r="A99" s="3" t="s">
        <v>260</v>
      </c>
      <c r="B99" s="5">
        <v>41707</v>
      </c>
      <c r="C99" s="4">
        <v>41887</v>
      </c>
      <c r="D99" s="3" t="s">
        <v>261</v>
      </c>
      <c r="E99" s="3" t="s">
        <v>70</v>
      </c>
      <c r="F99" s="3" t="s">
        <v>71</v>
      </c>
      <c r="G99" s="3" t="s">
        <v>45</v>
      </c>
      <c r="H99" s="3" t="s">
        <v>23</v>
      </c>
      <c r="I99" s="3">
        <v>3155.5439999999999</v>
      </c>
      <c r="J99" s="3">
        <v>7</v>
      </c>
      <c r="K99" s="3">
        <v>0.1</v>
      </c>
      <c r="L99" s="3">
        <v>34.944000000000003</v>
      </c>
      <c r="M99" s="3" t="s">
        <v>37</v>
      </c>
    </row>
    <row r="100" spans="1:13" x14ac:dyDescent="0.3">
      <c r="A100" s="3" t="s">
        <v>262</v>
      </c>
      <c r="B100" s="4">
        <v>41846</v>
      </c>
      <c r="C100" s="4">
        <v>41852</v>
      </c>
      <c r="D100" s="3" t="s">
        <v>263</v>
      </c>
      <c r="E100" s="3" t="s">
        <v>130</v>
      </c>
      <c r="F100" s="3" t="s">
        <v>264</v>
      </c>
      <c r="G100" s="3" t="s">
        <v>17</v>
      </c>
      <c r="H100" s="3" t="s">
        <v>127</v>
      </c>
      <c r="I100" s="3">
        <v>3856.1399999999899</v>
      </c>
      <c r="J100" s="3">
        <v>6</v>
      </c>
      <c r="K100" s="3">
        <v>0</v>
      </c>
      <c r="L100" s="3"/>
      <c r="M100" s="3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ADAF9-5010-4AAB-B1D8-3D88ADF9C728}">
  <dimension ref="A1:AA103"/>
  <sheetViews>
    <sheetView tabSelected="1" topLeftCell="G1" workbookViewId="0">
      <selection activeCell="U11" sqref="U11"/>
    </sheetView>
  </sheetViews>
  <sheetFormatPr defaultRowHeight="14.4" x14ac:dyDescent="0.3"/>
  <cols>
    <col min="1" max="1" width="23.33203125" customWidth="1"/>
    <col min="2" max="2" width="16.109375" customWidth="1"/>
    <col min="3" max="3" width="15.77734375" customWidth="1"/>
    <col min="4" max="4" width="16.44140625" customWidth="1"/>
    <col min="5" max="5" width="17.77734375" style="6" customWidth="1"/>
    <col min="6" max="6" width="15.6640625" customWidth="1"/>
    <col min="7" max="7" width="17.33203125" style="6" customWidth="1"/>
    <col min="8" max="8" width="16.21875" customWidth="1"/>
    <col min="9" max="9" width="13.33203125" customWidth="1"/>
    <col min="10" max="10" width="17.109375" style="6" customWidth="1"/>
    <col min="11" max="11" width="14.33203125" customWidth="1"/>
    <col min="13" max="13" width="13.77734375" style="6" customWidth="1"/>
    <col min="14" max="15" width="10.21875" customWidth="1"/>
    <col min="17" max="17" width="14.21875" style="6" customWidth="1"/>
    <col min="18" max="18" width="14.21875" customWidth="1"/>
    <col min="19" max="19" width="20.88671875" style="6" customWidth="1"/>
    <col min="21" max="21" width="16.5546875" customWidth="1"/>
    <col min="22" max="22" width="10.44140625" customWidth="1"/>
  </cols>
  <sheetData>
    <row r="1" spans="1:27" x14ac:dyDescent="0.3">
      <c r="A1" s="17" t="s">
        <v>0</v>
      </c>
      <c r="B1" s="18" t="s">
        <v>1</v>
      </c>
      <c r="C1" s="18" t="s">
        <v>2</v>
      </c>
      <c r="D1" s="7" t="s">
        <v>3</v>
      </c>
      <c r="E1" s="18" t="s">
        <v>274</v>
      </c>
      <c r="F1" s="7" t="s">
        <v>4</v>
      </c>
      <c r="G1" s="18" t="s">
        <v>273</v>
      </c>
      <c r="H1" s="7" t="s">
        <v>5</v>
      </c>
      <c r="I1" s="7" t="s">
        <v>6</v>
      </c>
      <c r="J1" s="18" t="s">
        <v>271</v>
      </c>
      <c r="K1" s="7" t="s">
        <v>7</v>
      </c>
      <c r="L1" s="7" t="s">
        <v>8</v>
      </c>
      <c r="M1" s="18" t="s">
        <v>281</v>
      </c>
      <c r="N1" s="7" t="s">
        <v>9</v>
      </c>
      <c r="O1" s="7" t="s">
        <v>10</v>
      </c>
      <c r="P1" s="7" t="s">
        <v>11</v>
      </c>
      <c r="Q1" s="18" t="s">
        <v>289</v>
      </c>
      <c r="R1" s="7" t="s">
        <v>12</v>
      </c>
      <c r="S1" s="28" t="s">
        <v>283</v>
      </c>
      <c r="U1" s="2" t="s">
        <v>272</v>
      </c>
      <c r="W1" s="6" t="s">
        <v>265</v>
      </c>
      <c r="X1" s="6"/>
    </row>
    <row r="2" spans="1:27" x14ac:dyDescent="0.3">
      <c r="A2" s="8" t="s">
        <v>13</v>
      </c>
      <c r="B2" s="19" t="s">
        <v>278</v>
      </c>
      <c r="C2" s="19">
        <v>41930</v>
      </c>
      <c r="D2" s="9" t="s">
        <v>14</v>
      </c>
      <c r="E2" s="9" t="str">
        <f>IF(ISBLANK(D2),"UNKNOWN",D2)</f>
        <v>Craig Reiter</v>
      </c>
      <c r="F2" s="9" t="s">
        <v>15</v>
      </c>
      <c r="G2" s="9" t="str">
        <f>IF(ISBLANK(F2),"UNKNOWN",F2)</f>
        <v>Australia</v>
      </c>
      <c r="H2" s="9" t="s">
        <v>16</v>
      </c>
      <c r="I2" s="9" t="s">
        <v>17</v>
      </c>
      <c r="J2" s="9" t="s">
        <v>17</v>
      </c>
      <c r="K2" s="9" t="s">
        <v>18</v>
      </c>
      <c r="L2" s="23">
        <v>5175.1710000000003</v>
      </c>
      <c r="M2" s="23">
        <f>IF(ISBLANK(P2),AVERAGE(P2:P100),P2)</f>
        <v>919.97099999999898</v>
      </c>
      <c r="N2" s="31">
        <v>9</v>
      </c>
      <c r="O2" s="31">
        <v>0.1</v>
      </c>
      <c r="P2" s="23">
        <v>919.97099999999898</v>
      </c>
      <c r="Q2" s="23">
        <f>IF(ISBLANK(P2),AVERAGE($P$2:$P$100),P2)</f>
        <v>919.97099999999898</v>
      </c>
      <c r="R2" s="9" t="s">
        <v>19</v>
      </c>
      <c r="S2" s="29" t="str">
        <f>IF(ISBLANK(R2),"UNKNOWN",R2)</f>
        <v>Medium</v>
      </c>
      <c r="U2" s="16" t="s">
        <v>17</v>
      </c>
      <c r="W2" s="6" t="s">
        <v>266</v>
      </c>
      <c r="X2" s="6"/>
    </row>
    <row r="3" spans="1:27" x14ac:dyDescent="0.3">
      <c r="A3" s="10" t="s">
        <v>20</v>
      </c>
      <c r="B3" s="20">
        <v>41667</v>
      </c>
      <c r="C3" s="20">
        <v>41669</v>
      </c>
      <c r="D3" s="11" t="s">
        <v>21</v>
      </c>
      <c r="E3" s="11" t="str">
        <f t="shared" ref="E3:E66" si="0">IF(ISBLANK(D3),"UNKNOWN",D3)</f>
        <v>Katherine Murray</v>
      </c>
      <c r="F3" s="11" t="s">
        <v>22</v>
      </c>
      <c r="G3" s="11" t="str">
        <f t="shared" ref="G3:G66" si="1">IF(ISBLANK(F3),"UNKNOWN",F3)</f>
        <v>Germany</v>
      </c>
      <c r="H3" s="11" t="s">
        <v>284</v>
      </c>
      <c r="I3" s="11" t="s">
        <v>17</v>
      </c>
      <c r="J3" s="11" t="s">
        <v>45</v>
      </c>
      <c r="K3" s="11" t="s">
        <v>23</v>
      </c>
      <c r="L3" s="24">
        <v>2892.5099999999902</v>
      </c>
      <c r="M3" s="23">
        <f>IF(ISBLANK(L3),AVERAGE($L$2:$L$100),L3)</f>
        <v>2892.5099999999902</v>
      </c>
      <c r="N3" s="32">
        <v>5</v>
      </c>
      <c r="O3" s="32">
        <v>0.1</v>
      </c>
      <c r="P3" s="24">
        <v>-96.54</v>
      </c>
      <c r="Q3" s="23">
        <f t="shared" ref="Q3:Q66" si="2">IF(ISBLANK(P3),AVERAGE($P$2:$P$100),P3)</f>
        <v>-96.54</v>
      </c>
      <c r="R3" s="11"/>
      <c r="S3" s="29" t="str">
        <f t="shared" ref="S3:S66" si="3">IF(ISBLANK(R3),"UNKNOWN",R3)</f>
        <v>UNKNOWN</v>
      </c>
      <c r="U3" s="15" t="s">
        <v>45</v>
      </c>
      <c r="W3" s="6" t="s">
        <v>267</v>
      </c>
      <c r="X3" s="6"/>
    </row>
    <row r="4" spans="1:27" x14ac:dyDescent="0.3">
      <c r="A4" s="8" t="s">
        <v>277</v>
      </c>
      <c r="B4" s="19">
        <v>41948</v>
      </c>
      <c r="C4" s="19">
        <v>41949</v>
      </c>
      <c r="D4" s="9" t="s">
        <v>24</v>
      </c>
      <c r="E4" s="9" t="str">
        <f t="shared" si="0"/>
        <v>Rick Hansen</v>
      </c>
      <c r="F4" s="9"/>
      <c r="G4" s="9" t="str">
        <f t="shared" si="1"/>
        <v>UNKNOWN</v>
      </c>
      <c r="H4" s="9" t="s">
        <v>25</v>
      </c>
      <c r="I4" s="9" t="s">
        <v>17</v>
      </c>
      <c r="J4" s="9" t="s">
        <v>17</v>
      </c>
      <c r="K4" s="9" t="s">
        <v>26</v>
      </c>
      <c r="L4" s="23">
        <v>2832.96</v>
      </c>
      <c r="M4" s="23">
        <f t="shared" ref="M4:M66" si="4">IF(ISBLANK(L4),AVERAGE($L$2:$L$100),L4)</f>
        <v>2832.96</v>
      </c>
      <c r="N4" s="31">
        <v>8</v>
      </c>
      <c r="O4" s="31">
        <v>0</v>
      </c>
      <c r="P4" s="23">
        <v>311.52</v>
      </c>
      <c r="Q4" s="23">
        <f t="shared" si="2"/>
        <v>311.52</v>
      </c>
      <c r="R4" s="9" t="s">
        <v>27</v>
      </c>
      <c r="S4" s="29" t="str">
        <f t="shared" si="3"/>
        <v>Critical</v>
      </c>
      <c r="U4" s="16" t="s">
        <v>32</v>
      </c>
      <c r="W4" s="6" t="s">
        <v>268</v>
      </c>
      <c r="X4" s="6"/>
    </row>
    <row r="5" spans="1:27" x14ac:dyDescent="0.3">
      <c r="A5" s="10" t="s">
        <v>28</v>
      </c>
      <c r="B5" s="20">
        <v>41818</v>
      </c>
      <c r="C5" s="20">
        <v>41821</v>
      </c>
      <c r="D5" s="11" t="s">
        <v>29</v>
      </c>
      <c r="E5" s="11" t="str">
        <f t="shared" si="0"/>
        <v>Jim Mitchum</v>
      </c>
      <c r="F5" s="11" t="s">
        <v>15</v>
      </c>
      <c r="G5" s="11" t="str">
        <f t="shared" si="1"/>
        <v>Australia</v>
      </c>
      <c r="H5" s="11" t="s">
        <v>16</v>
      </c>
      <c r="I5" s="11" t="s">
        <v>17</v>
      </c>
      <c r="J5" s="11" t="s">
        <v>17</v>
      </c>
      <c r="K5" s="11" t="s">
        <v>26</v>
      </c>
      <c r="L5" s="24">
        <v>2862.6750000000002</v>
      </c>
      <c r="M5" s="23">
        <f t="shared" si="4"/>
        <v>2862.6750000000002</v>
      </c>
      <c r="N5" s="32">
        <v>5</v>
      </c>
      <c r="O5" s="32">
        <v>0.1</v>
      </c>
      <c r="P5" s="24">
        <v>763.27499999999998</v>
      </c>
      <c r="Q5" s="23">
        <f t="shared" si="2"/>
        <v>763.27499999999998</v>
      </c>
      <c r="R5" s="11" t="s">
        <v>27</v>
      </c>
      <c r="S5" s="29" t="str">
        <f t="shared" si="3"/>
        <v>Critical</v>
      </c>
      <c r="U5" s="16" t="s">
        <v>280</v>
      </c>
      <c r="W5" s="6" t="s">
        <v>269</v>
      </c>
      <c r="X5" s="6"/>
    </row>
    <row r="6" spans="1:27" x14ac:dyDescent="0.3">
      <c r="A6" s="8" t="s">
        <v>277</v>
      </c>
      <c r="B6" s="19">
        <v>41219</v>
      </c>
      <c r="C6" s="19">
        <v>41221</v>
      </c>
      <c r="D6" s="9" t="s">
        <v>30</v>
      </c>
      <c r="E6" s="9" t="str">
        <f t="shared" si="0"/>
        <v>Toby Swindell</v>
      </c>
      <c r="F6" s="9" t="s">
        <v>31</v>
      </c>
      <c r="G6" s="9" t="str">
        <f t="shared" si="1"/>
        <v>New Zealand</v>
      </c>
      <c r="H6" s="9" t="s">
        <v>16</v>
      </c>
      <c r="I6" s="9" t="s">
        <v>32</v>
      </c>
      <c r="J6" s="9" t="s">
        <v>32</v>
      </c>
      <c r="K6" s="9" t="s">
        <v>33</v>
      </c>
      <c r="L6" s="23">
        <v>1822.0799999999899</v>
      </c>
      <c r="M6" s="23">
        <f t="shared" si="4"/>
        <v>1822.0799999999899</v>
      </c>
      <c r="N6" s="31">
        <v>4</v>
      </c>
      <c r="O6" s="31">
        <v>0</v>
      </c>
      <c r="P6" s="23">
        <v>564.84</v>
      </c>
      <c r="Q6" s="23">
        <f t="shared" si="2"/>
        <v>564.84</v>
      </c>
      <c r="R6" s="9" t="s">
        <v>27</v>
      </c>
      <c r="S6" s="29" t="str">
        <f t="shared" si="3"/>
        <v>Critical</v>
      </c>
      <c r="W6" s="6"/>
      <c r="X6" s="6"/>
    </row>
    <row r="7" spans="1:27" x14ac:dyDescent="0.3">
      <c r="A7" s="10" t="s">
        <v>34</v>
      </c>
      <c r="B7" s="11" t="s">
        <v>279</v>
      </c>
      <c r="C7" s="11" t="s">
        <v>279</v>
      </c>
      <c r="D7" s="11" t="s">
        <v>35</v>
      </c>
      <c r="E7" s="11" t="str">
        <f t="shared" si="0"/>
        <v>Mick Brown</v>
      </c>
      <c r="F7" s="11" t="s">
        <v>31</v>
      </c>
      <c r="G7" s="11" t="str">
        <f t="shared" si="1"/>
        <v>New Zealand</v>
      </c>
      <c r="H7" s="11" t="s">
        <v>16</v>
      </c>
      <c r="I7" s="11" t="s">
        <v>32</v>
      </c>
      <c r="J7" s="11" t="s">
        <v>32</v>
      </c>
      <c r="K7" s="11" t="s">
        <v>26</v>
      </c>
      <c r="L7" s="24">
        <v>5244.84</v>
      </c>
      <c r="M7" s="23">
        <f t="shared" si="4"/>
        <v>5244.84</v>
      </c>
      <c r="N7" s="32" t="s">
        <v>36</v>
      </c>
      <c r="O7" s="32">
        <v>0</v>
      </c>
      <c r="P7" s="24">
        <v>996.479999999999</v>
      </c>
      <c r="Q7" s="23">
        <f t="shared" si="2"/>
        <v>996.479999999999</v>
      </c>
      <c r="R7" s="11" t="s">
        <v>37</v>
      </c>
      <c r="S7" s="29" t="str">
        <f t="shared" si="3"/>
        <v>High</v>
      </c>
      <c r="W7" s="6" t="s">
        <v>270</v>
      </c>
      <c r="X7" s="6"/>
    </row>
    <row r="8" spans="1:27" x14ac:dyDescent="0.3">
      <c r="A8" s="8" t="s">
        <v>38</v>
      </c>
      <c r="B8" s="19">
        <v>41954</v>
      </c>
      <c r="C8" s="19">
        <v>41956</v>
      </c>
      <c r="D8" s="9" t="s">
        <v>39</v>
      </c>
      <c r="E8" s="9" t="str">
        <f t="shared" si="0"/>
        <v>Aaron Bergman</v>
      </c>
      <c r="F8" s="9" t="s">
        <v>40</v>
      </c>
      <c r="G8" s="9" t="str">
        <f t="shared" si="1"/>
        <v>United States</v>
      </c>
      <c r="H8" s="9" t="s">
        <v>41</v>
      </c>
      <c r="I8" s="9" t="s">
        <v>32</v>
      </c>
      <c r="J8" s="9" t="s">
        <v>32</v>
      </c>
      <c r="K8" s="9" t="s">
        <v>23</v>
      </c>
      <c r="L8" s="23">
        <v>341.96</v>
      </c>
      <c r="M8" s="23">
        <f t="shared" si="4"/>
        <v>341.96</v>
      </c>
      <c r="N8" s="31">
        <v>2</v>
      </c>
      <c r="O8" s="31">
        <v>0</v>
      </c>
      <c r="P8" s="23">
        <v>54.7135999999999</v>
      </c>
      <c r="Q8" s="23">
        <f t="shared" si="2"/>
        <v>54.7135999999999</v>
      </c>
      <c r="R8" s="9" t="s">
        <v>37</v>
      </c>
      <c r="S8" s="29" t="str">
        <f t="shared" si="3"/>
        <v>High</v>
      </c>
    </row>
    <row r="9" spans="1:27" x14ac:dyDescent="0.3">
      <c r="A9" s="10" t="s">
        <v>42</v>
      </c>
      <c r="B9" s="20">
        <v>40974</v>
      </c>
      <c r="C9" s="20">
        <v>40975</v>
      </c>
      <c r="D9" s="11" t="s">
        <v>39</v>
      </c>
      <c r="E9" s="11" t="str">
        <f t="shared" si="0"/>
        <v>Aaron Bergman</v>
      </c>
      <c r="F9" s="11" t="s">
        <v>40</v>
      </c>
      <c r="G9" s="11" t="str">
        <f t="shared" si="1"/>
        <v>United States</v>
      </c>
      <c r="H9" s="11" t="s">
        <v>43</v>
      </c>
      <c r="I9" s="11" t="s">
        <v>32</v>
      </c>
      <c r="J9" s="11"/>
      <c r="K9" s="11" t="s">
        <v>44</v>
      </c>
      <c r="L9" s="24">
        <v>48.712000000000003</v>
      </c>
      <c r="M9" s="23">
        <f t="shared" si="4"/>
        <v>48.712000000000003</v>
      </c>
      <c r="N9" s="32">
        <v>1</v>
      </c>
      <c r="O9" s="32" t="s">
        <v>282</v>
      </c>
      <c r="P9" s="24">
        <v>5.4800999999999904</v>
      </c>
      <c r="Q9" s="23">
        <f t="shared" si="2"/>
        <v>5.4800999999999904</v>
      </c>
      <c r="R9" s="11" t="s">
        <v>37</v>
      </c>
      <c r="S9" s="29" t="str">
        <f t="shared" si="3"/>
        <v>High</v>
      </c>
      <c r="W9" t="s">
        <v>275</v>
      </c>
      <c r="AA9">
        <f>COUNTBLANK(D2:D100)</f>
        <v>6</v>
      </c>
    </row>
    <row r="10" spans="1:27" x14ac:dyDescent="0.3">
      <c r="A10" s="8" t="s">
        <v>42</v>
      </c>
      <c r="B10" s="19">
        <v>40974</v>
      </c>
      <c r="C10" s="19">
        <v>40975</v>
      </c>
      <c r="D10" s="9" t="s">
        <v>39</v>
      </c>
      <c r="E10" s="9" t="str">
        <f t="shared" si="0"/>
        <v>Aaron Bergman</v>
      </c>
      <c r="F10" s="9"/>
      <c r="G10" s="9" t="str">
        <f t="shared" si="1"/>
        <v>UNKNOWN</v>
      </c>
      <c r="H10" s="9" t="s">
        <v>43</v>
      </c>
      <c r="I10" s="9" t="s">
        <v>45</v>
      </c>
      <c r="J10" s="9"/>
      <c r="K10" s="9" t="s">
        <v>46</v>
      </c>
      <c r="L10" s="23" t="s">
        <v>47</v>
      </c>
      <c r="M10" s="23" t="str">
        <f t="shared" si="4"/>
        <v>17.94#</v>
      </c>
      <c r="N10" s="31">
        <v>3</v>
      </c>
      <c r="O10" s="31">
        <v>0</v>
      </c>
      <c r="P10" s="23">
        <v>26.647123533229099</v>
      </c>
      <c r="Q10" s="23">
        <f t="shared" si="2"/>
        <v>26.647123533229099</v>
      </c>
      <c r="R10" s="9" t="s">
        <v>37</v>
      </c>
      <c r="S10" s="29" t="str">
        <f t="shared" si="3"/>
        <v>High</v>
      </c>
      <c r="W10" t="s">
        <v>276</v>
      </c>
      <c r="AA10">
        <f>COUNTBLANK(F2:F100)</f>
        <v>8</v>
      </c>
    </row>
    <row r="11" spans="1:27" x14ac:dyDescent="0.3">
      <c r="A11" s="10" t="s">
        <v>48</v>
      </c>
      <c r="B11" s="20">
        <v>41383</v>
      </c>
      <c r="C11" s="11" t="s">
        <v>49</v>
      </c>
      <c r="D11" s="11" t="s">
        <v>50</v>
      </c>
      <c r="E11" s="11" t="str">
        <f t="shared" si="0"/>
        <v>Anthony Jacobs</v>
      </c>
      <c r="F11" s="11" t="s">
        <v>51</v>
      </c>
      <c r="G11" s="11" t="str">
        <f t="shared" si="1"/>
        <v>Afghanistan</v>
      </c>
      <c r="H11" s="11" t="s">
        <v>52</v>
      </c>
      <c r="I11" s="11" t="s">
        <v>32</v>
      </c>
      <c r="J11" s="11"/>
      <c r="K11" s="11" t="s">
        <v>44</v>
      </c>
      <c r="L11" s="24">
        <v>4626.1499999999996</v>
      </c>
      <c r="M11" s="23">
        <f t="shared" si="4"/>
        <v>4626.1499999999996</v>
      </c>
      <c r="N11" s="32">
        <v>5</v>
      </c>
      <c r="O11" s="32">
        <v>0</v>
      </c>
      <c r="P11" s="24"/>
      <c r="Q11" s="23">
        <f t="shared" si="2"/>
        <v>579.98262581340987</v>
      </c>
      <c r="R11" s="11" t="s">
        <v>37</v>
      </c>
      <c r="S11" s="29" t="str">
        <f t="shared" si="3"/>
        <v>High</v>
      </c>
    </row>
    <row r="12" spans="1:27" x14ac:dyDescent="0.3">
      <c r="A12" s="8" t="s">
        <v>53</v>
      </c>
      <c r="B12" s="19">
        <v>41269</v>
      </c>
      <c r="C12" s="9" t="s">
        <v>279</v>
      </c>
      <c r="D12" s="9" t="s">
        <v>54</v>
      </c>
      <c r="E12" s="9" t="str">
        <f t="shared" si="0"/>
        <v>Magdelene Morse</v>
      </c>
      <c r="F12" s="9" t="s">
        <v>55</v>
      </c>
      <c r="G12" s="9" t="str">
        <f t="shared" si="1"/>
        <v>Saudi Arabia</v>
      </c>
      <c r="H12" s="9" t="s">
        <v>56</v>
      </c>
      <c r="I12" s="9" t="s">
        <v>17</v>
      </c>
      <c r="J12" s="9"/>
      <c r="K12" s="9" t="s">
        <v>57</v>
      </c>
      <c r="L12" s="23">
        <v>2616.96</v>
      </c>
      <c r="M12" s="23">
        <f t="shared" si="4"/>
        <v>2616.96</v>
      </c>
      <c r="N12" s="31">
        <v>4</v>
      </c>
      <c r="O12" s="31">
        <v>0</v>
      </c>
      <c r="P12" s="23">
        <v>1151.4000000000001</v>
      </c>
      <c r="Q12" s="23">
        <f t="shared" si="2"/>
        <v>1151.4000000000001</v>
      </c>
      <c r="R12" s="9" t="s">
        <v>27</v>
      </c>
      <c r="S12" s="29" t="str">
        <f t="shared" si="3"/>
        <v>Critical</v>
      </c>
      <c r="W12" t="s">
        <v>285</v>
      </c>
    </row>
    <row r="13" spans="1:27" x14ac:dyDescent="0.3">
      <c r="A13" s="10" t="s">
        <v>58</v>
      </c>
      <c r="B13" s="20">
        <v>41591</v>
      </c>
      <c r="C13" s="20">
        <v>41591</v>
      </c>
      <c r="D13" s="11" t="s">
        <v>59</v>
      </c>
      <c r="E13" s="11" t="str">
        <f t="shared" si="0"/>
        <v>Vicky Freymann</v>
      </c>
      <c r="F13" s="11" t="s">
        <v>60</v>
      </c>
      <c r="G13" s="11" t="str">
        <f t="shared" si="1"/>
        <v>Brazil</v>
      </c>
      <c r="H13" s="11" t="s">
        <v>61</v>
      </c>
      <c r="I13" s="11" t="s">
        <v>32</v>
      </c>
      <c r="J13" s="11"/>
      <c r="K13" s="11" t="s">
        <v>44</v>
      </c>
      <c r="L13" s="24" t="s">
        <v>62</v>
      </c>
      <c r="M13" s="23" t="str">
        <f t="shared" si="4"/>
        <v>2221.8#</v>
      </c>
      <c r="N13" s="32">
        <v>0</v>
      </c>
      <c r="O13" s="32">
        <v>0</v>
      </c>
      <c r="P13" s="24">
        <v>622.02</v>
      </c>
      <c r="Q13" s="23">
        <f t="shared" si="2"/>
        <v>622.02</v>
      </c>
      <c r="R13" s="11" t="s">
        <v>27</v>
      </c>
      <c r="S13" s="29" t="str">
        <f t="shared" si="3"/>
        <v>Critical</v>
      </c>
      <c r="W13" t="s">
        <v>286</v>
      </c>
    </row>
    <row r="14" spans="1:27" x14ac:dyDescent="0.3">
      <c r="A14" s="8" t="s">
        <v>64</v>
      </c>
      <c r="B14" s="19">
        <v>41796</v>
      </c>
      <c r="C14" s="19">
        <v>41798</v>
      </c>
      <c r="D14" s="9" t="s">
        <v>65</v>
      </c>
      <c r="E14" s="9" t="str">
        <f t="shared" si="0"/>
        <v>Peter Fuller</v>
      </c>
      <c r="F14" s="9" t="s">
        <v>66</v>
      </c>
      <c r="G14" s="9" t="str">
        <f t="shared" si="1"/>
        <v>China</v>
      </c>
      <c r="H14" s="9" t="s">
        <v>67</v>
      </c>
      <c r="I14" s="9" t="s">
        <v>45</v>
      </c>
      <c r="J14" s="9"/>
      <c r="K14" s="9" t="s">
        <v>26</v>
      </c>
      <c r="L14" s="23">
        <v>3701.51999999999</v>
      </c>
      <c r="M14" s="23">
        <f t="shared" si="4"/>
        <v>3701.51999999999</v>
      </c>
      <c r="N14" s="31">
        <v>12</v>
      </c>
      <c r="O14" s="31">
        <v>0</v>
      </c>
      <c r="P14" s="23">
        <v>1036.08</v>
      </c>
      <c r="Q14" s="23">
        <f t="shared" si="2"/>
        <v>1036.08</v>
      </c>
      <c r="R14" s="9" t="s">
        <v>27</v>
      </c>
      <c r="S14" s="29" t="str">
        <f t="shared" si="3"/>
        <v>Critical</v>
      </c>
    </row>
    <row r="15" spans="1:27" x14ac:dyDescent="0.3">
      <c r="A15" s="10" t="s">
        <v>68</v>
      </c>
      <c r="B15" s="20">
        <v>42216</v>
      </c>
      <c r="C15" s="20">
        <v>42219</v>
      </c>
      <c r="D15" s="11" t="s">
        <v>69</v>
      </c>
      <c r="E15" s="11" t="str">
        <f t="shared" si="0"/>
        <v>Ben Peterman</v>
      </c>
      <c r="F15" s="11" t="s">
        <v>70</v>
      </c>
      <c r="G15" s="11" t="str">
        <f t="shared" si="1"/>
        <v>France</v>
      </c>
      <c r="H15" s="11" t="s">
        <v>71</v>
      </c>
      <c r="I15" s="11" t="s">
        <v>45</v>
      </c>
      <c r="J15" s="11"/>
      <c r="K15" s="11" t="s">
        <v>23</v>
      </c>
      <c r="L15" s="24">
        <v>1869.58799999999</v>
      </c>
      <c r="M15" s="23">
        <f t="shared" si="4"/>
        <v>1869.58799999999</v>
      </c>
      <c r="N15" s="32">
        <v>4</v>
      </c>
      <c r="O15" s="32">
        <v>0.1</v>
      </c>
      <c r="P15" s="24"/>
      <c r="Q15" s="23">
        <f t="shared" si="2"/>
        <v>579.98262581340987</v>
      </c>
      <c r="R15" s="11" t="s">
        <v>27</v>
      </c>
      <c r="S15" s="29" t="str">
        <f t="shared" si="3"/>
        <v>Critical</v>
      </c>
      <c r="W15" t="s">
        <v>287</v>
      </c>
    </row>
    <row r="16" spans="1:27" x14ac:dyDescent="0.3">
      <c r="A16" s="8" t="s">
        <v>72</v>
      </c>
      <c r="B16" s="19">
        <v>40958</v>
      </c>
      <c r="C16" s="19">
        <v>40964</v>
      </c>
      <c r="D16" s="9" t="s">
        <v>39</v>
      </c>
      <c r="E16" s="9" t="str">
        <f t="shared" si="0"/>
        <v>Aaron Bergman</v>
      </c>
      <c r="F16" s="9" t="s">
        <v>40</v>
      </c>
      <c r="G16" s="9" t="str">
        <f t="shared" si="1"/>
        <v>United States</v>
      </c>
      <c r="H16" s="9" t="s">
        <v>41</v>
      </c>
      <c r="I16" s="9" t="s">
        <v>45</v>
      </c>
      <c r="J16" s="9"/>
      <c r="K16" s="9" t="s">
        <v>73</v>
      </c>
      <c r="L16" s="23">
        <v>12.624000000000001</v>
      </c>
      <c r="M16" s="23">
        <f t="shared" si="4"/>
        <v>12.624000000000001</v>
      </c>
      <c r="N16" s="31">
        <v>2</v>
      </c>
      <c r="O16" s="31">
        <v>0.2</v>
      </c>
      <c r="P16" s="23">
        <v>-2.5247999999999999</v>
      </c>
      <c r="Q16" s="23">
        <f t="shared" si="2"/>
        <v>-2.5247999999999999</v>
      </c>
      <c r="R16" s="9" t="s">
        <v>74</v>
      </c>
      <c r="S16" s="29" t="str">
        <f t="shared" si="3"/>
        <v>Low</v>
      </c>
      <c r="W16" t="s">
        <v>288</v>
      </c>
    </row>
    <row r="17" spans="1:19" x14ac:dyDescent="0.3">
      <c r="A17" s="10" t="s">
        <v>75</v>
      </c>
      <c r="B17" s="20">
        <v>42255</v>
      </c>
      <c r="C17" s="20">
        <v>42261</v>
      </c>
      <c r="D17" s="11"/>
      <c r="E17" s="11" t="str">
        <f t="shared" si="0"/>
        <v>UNKNOWN</v>
      </c>
      <c r="F17" s="11" t="s">
        <v>76</v>
      </c>
      <c r="G17" s="11" t="str">
        <f t="shared" si="1"/>
        <v>Italy</v>
      </c>
      <c r="H17" s="11" t="s">
        <v>77</v>
      </c>
      <c r="I17" s="11" t="s">
        <v>45</v>
      </c>
      <c r="J17" s="11" t="s">
        <v>45</v>
      </c>
      <c r="K17" s="11" t="s">
        <v>73</v>
      </c>
      <c r="L17" s="24" t="s">
        <v>78</v>
      </c>
      <c r="M17" s="23" t="str">
        <f t="shared" si="4"/>
        <v>7958.58#</v>
      </c>
      <c r="N17" s="32">
        <v>14</v>
      </c>
      <c r="O17" s="32">
        <v>0</v>
      </c>
      <c r="P17" s="24">
        <v>3979.0799999999899</v>
      </c>
      <c r="Q17" s="23">
        <f t="shared" si="2"/>
        <v>3979.0799999999899</v>
      </c>
      <c r="R17" s="11" t="s">
        <v>74</v>
      </c>
      <c r="S17" s="29" t="str">
        <f t="shared" si="3"/>
        <v>Low</v>
      </c>
    </row>
    <row r="18" spans="1:19" x14ac:dyDescent="0.3">
      <c r="A18" s="8" t="s">
        <v>79</v>
      </c>
      <c r="B18" s="19">
        <v>42035</v>
      </c>
      <c r="C18" s="19">
        <v>42036</v>
      </c>
      <c r="D18" s="9" t="s">
        <v>80</v>
      </c>
      <c r="E18" s="9" t="str">
        <f t="shared" si="0"/>
        <v>Jim Sink</v>
      </c>
      <c r="F18" s="9" t="s">
        <v>15</v>
      </c>
      <c r="G18" s="9" t="str">
        <f t="shared" si="1"/>
        <v>Australia</v>
      </c>
      <c r="H18" s="9" t="s">
        <v>16</v>
      </c>
      <c r="I18" s="9" t="s">
        <v>280</v>
      </c>
      <c r="J18" s="9" t="s">
        <v>280</v>
      </c>
      <c r="K18" s="9" t="s">
        <v>18</v>
      </c>
      <c r="L18" s="23">
        <v>2565.5940000000001</v>
      </c>
      <c r="M18" s="23">
        <f t="shared" si="4"/>
        <v>2565.5940000000001</v>
      </c>
      <c r="N18" s="31">
        <v>9</v>
      </c>
      <c r="O18" s="31" t="s">
        <v>282</v>
      </c>
      <c r="P18" s="23"/>
      <c r="Q18" s="23">
        <f t="shared" si="2"/>
        <v>579.98262581340987</v>
      </c>
      <c r="R18" s="9" t="s">
        <v>27</v>
      </c>
      <c r="S18" s="29" t="str">
        <f t="shared" si="3"/>
        <v>Critical</v>
      </c>
    </row>
    <row r="19" spans="1:19" x14ac:dyDescent="0.3">
      <c r="A19" s="10" t="s">
        <v>81</v>
      </c>
      <c r="B19" s="20">
        <v>42343</v>
      </c>
      <c r="C19" s="20">
        <v>42345</v>
      </c>
      <c r="D19" s="11" t="s">
        <v>82</v>
      </c>
      <c r="E19" s="11" t="str">
        <f t="shared" si="0"/>
        <v>Ritsa Hightower</v>
      </c>
      <c r="F19" s="11" t="s">
        <v>83</v>
      </c>
      <c r="G19" s="11" t="str">
        <f t="shared" si="1"/>
        <v>Tanzania</v>
      </c>
      <c r="H19" s="11" t="s">
        <v>84</v>
      </c>
      <c r="I19" s="11" t="s">
        <v>45</v>
      </c>
      <c r="J19" s="11"/>
      <c r="K19" s="11" t="s">
        <v>73</v>
      </c>
      <c r="L19" s="24">
        <v>3409.74</v>
      </c>
      <c r="M19" s="23">
        <f t="shared" si="4"/>
        <v>3409.74</v>
      </c>
      <c r="N19" s="32">
        <v>6</v>
      </c>
      <c r="O19" s="32">
        <v>0</v>
      </c>
      <c r="P19" s="24">
        <v>818.28</v>
      </c>
      <c r="Q19" s="23">
        <f t="shared" si="2"/>
        <v>818.28</v>
      </c>
      <c r="R19" s="11" t="s">
        <v>37</v>
      </c>
      <c r="S19" s="29" t="str">
        <f t="shared" si="3"/>
        <v>High</v>
      </c>
    </row>
    <row r="20" spans="1:19" x14ac:dyDescent="0.3">
      <c r="A20" s="8" t="s">
        <v>85</v>
      </c>
      <c r="B20" s="19">
        <v>41494</v>
      </c>
      <c r="C20" s="19">
        <v>41496</v>
      </c>
      <c r="D20" s="9" t="s">
        <v>86</v>
      </c>
      <c r="E20" s="9" t="str">
        <f t="shared" si="0"/>
        <v>Ann Blume</v>
      </c>
      <c r="F20" s="9"/>
      <c r="G20" s="9" t="str">
        <f t="shared" si="1"/>
        <v>UNKNOWN</v>
      </c>
      <c r="H20" s="9" t="s">
        <v>87</v>
      </c>
      <c r="I20" s="9" t="s">
        <v>32</v>
      </c>
      <c r="J20" s="9"/>
      <c r="K20" s="9" t="s">
        <v>33</v>
      </c>
      <c r="L20" s="23">
        <v>1977.71999999999</v>
      </c>
      <c r="M20" s="23">
        <f t="shared" si="4"/>
        <v>1977.71999999999</v>
      </c>
      <c r="N20" s="31">
        <v>4</v>
      </c>
      <c r="O20" s="31">
        <v>0</v>
      </c>
      <c r="P20" s="23">
        <v>276.83999999999997</v>
      </c>
      <c r="Q20" s="23">
        <f t="shared" si="2"/>
        <v>276.83999999999997</v>
      </c>
      <c r="R20" s="9" t="s">
        <v>27</v>
      </c>
      <c r="S20" s="29" t="str">
        <f t="shared" si="3"/>
        <v>Critical</v>
      </c>
    </row>
    <row r="21" spans="1:19" x14ac:dyDescent="0.3">
      <c r="A21" s="10" t="s">
        <v>42</v>
      </c>
      <c r="B21" s="20">
        <v>40974</v>
      </c>
      <c r="C21" s="20">
        <v>40975</v>
      </c>
      <c r="D21" s="11" t="s">
        <v>39</v>
      </c>
      <c r="E21" s="11" t="str">
        <f t="shared" si="0"/>
        <v>Aaron Bergman</v>
      </c>
      <c r="F21" s="11" t="s">
        <v>40</v>
      </c>
      <c r="G21" s="11" t="str">
        <f t="shared" si="1"/>
        <v>United States</v>
      </c>
      <c r="H21" s="11" t="s">
        <v>43</v>
      </c>
      <c r="I21" s="11" t="s">
        <v>45</v>
      </c>
      <c r="J21" s="11"/>
      <c r="K21" s="11" t="s">
        <v>73</v>
      </c>
      <c r="L21" s="24">
        <v>242.94</v>
      </c>
      <c r="M21" s="23">
        <f t="shared" si="4"/>
        <v>242.94</v>
      </c>
      <c r="N21" s="32">
        <v>3</v>
      </c>
      <c r="O21" s="32">
        <v>0</v>
      </c>
      <c r="P21" s="24">
        <v>4.8588000000000102</v>
      </c>
      <c r="Q21" s="23">
        <f t="shared" si="2"/>
        <v>4.8588000000000102</v>
      </c>
      <c r="R21" s="11" t="s">
        <v>37</v>
      </c>
      <c r="S21" s="29" t="str">
        <f t="shared" si="3"/>
        <v>High</v>
      </c>
    </row>
    <row r="22" spans="1:19" x14ac:dyDescent="0.3">
      <c r="A22" s="8" t="s">
        <v>88</v>
      </c>
      <c r="B22" s="19">
        <v>41030</v>
      </c>
      <c r="C22" s="19">
        <v>41031</v>
      </c>
      <c r="D22" s="9" t="s">
        <v>89</v>
      </c>
      <c r="E22" s="9" t="str">
        <f t="shared" si="0"/>
        <v>Jason Klamczynski</v>
      </c>
      <c r="F22" s="9" t="s">
        <v>66</v>
      </c>
      <c r="G22" s="9" t="str">
        <f t="shared" si="1"/>
        <v>China</v>
      </c>
      <c r="H22" s="9" t="s">
        <v>90</v>
      </c>
      <c r="I22" s="9" t="s">
        <v>32</v>
      </c>
      <c r="J22" s="9"/>
      <c r="K22" s="9" t="s">
        <v>44</v>
      </c>
      <c r="L22" s="23">
        <v>2753.99999999999</v>
      </c>
      <c r="M22" s="23">
        <f t="shared" si="4"/>
        <v>2753.99999999999</v>
      </c>
      <c r="N22" s="31">
        <v>6</v>
      </c>
      <c r="O22" s="31">
        <v>0</v>
      </c>
      <c r="P22" s="23">
        <v>358.02</v>
      </c>
      <c r="Q22" s="23">
        <f t="shared" si="2"/>
        <v>358.02</v>
      </c>
      <c r="R22" s="9" t="s">
        <v>27</v>
      </c>
      <c r="S22" s="29" t="str">
        <f t="shared" si="3"/>
        <v>Critical</v>
      </c>
    </row>
    <row r="23" spans="1:19" x14ac:dyDescent="0.3">
      <c r="A23" s="10" t="s">
        <v>91</v>
      </c>
      <c r="B23" s="20">
        <v>41697</v>
      </c>
      <c r="C23" s="20">
        <v>41699</v>
      </c>
      <c r="D23" s="11" t="s">
        <v>92</v>
      </c>
      <c r="E23" s="11" t="str">
        <f t="shared" si="0"/>
        <v>Laurel Beltran</v>
      </c>
      <c r="F23" s="11" t="s">
        <v>93</v>
      </c>
      <c r="G23" s="11" t="str">
        <f t="shared" si="1"/>
        <v>United Kingdom</v>
      </c>
      <c r="H23" s="11" t="s">
        <v>94</v>
      </c>
      <c r="I23" s="11" t="s">
        <v>45</v>
      </c>
      <c r="J23" s="11"/>
      <c r="K23" s="11" t="s">
        <v>26</v>
      </c>
      <c r="L23" s="24">
        <v>5273.7</v>
      </c>
      <c r="M23" s="23">
        <f t="shared" si="4"/>
        <v>5273.7</v>
      </c>
      <c r="N23" s="32">
        <v>10</v>
      </c>
      <c r="O23" s="32" t="s">
        <v>282</v>
      </c>
      <c r="P23" s="24">
        <v>1898.4</v>
      </c>
      <c r="Q23" s="23">
        <f t="shared" si="2"/>
        <v>1898.4</v>
      </c>
      <c r="R23" s="11" t="s">
        <v>37</v>
      </c>
      <c r="S23" s="29" t="str">
        <f t="shared" si="3"/>
        <v>High</v>
      </c>
    </row>
    <row r="24" spans="1:19" x14ac:dyDescent="0.3">
      <c r="A24" s="8" t="s">
        <v>95</v>
      </c>
      <c r="B24" s="19">
        <v>42216</v>
      </c>
      <c r="C24" s="19">
        <v>42217</v>
      </c>
      <c r="D24" s="9" t="s">
        <v>96</v>
      </c>
      <c r="E24" s="9" t="str">
        <f t="shared" si="0"/>
        <v>Naresj Patel</v>
      </c>
      <c r="F24" s="9" t="s">
        <v>97</v>
      </c>
      <c r="G24" s="9" t="str">
        <f t="shared" si="1"/>
        <v>Mexico</v>
      </c>
      <c r="H24" s="9" t="s">
        <v>98</v>
      </c>
      <c r="I24" s="9" t="s">
        <v>17</v>
      </c>
      <c r="J24" s="9"/>
      <c r="K24" s="9" t="s">
        <v>23</v>
      </c>
      <c r="L24" s="23">
        <v>1713.84</v>
      </c>
      <c r="M24" s="23">
        <f t="shared" si="4"/>
        <v>1713.84</v>
      </c>
      <c r="N24" s="31">
        <v>4</v>
      </c>
      <c r="O24" s="31">
        <v>0</v>
      </c>
      <c r="P24" s="23">
        <v>445.52</v>
      </c>
      <c r="Q24" s="23">
        <f t="shared" si="2"/>
        <v>445.52</v>
      </c>
      <c r="R24" s="9" t="s">
        <v>27</v>
      </c>
      <c r="S24" s="29" t="str">
        <f t="shared" si="3"/>
        <v>Critical</v>
      </c>
    </row>
    <row r="25" spans="1:19" x14ac:dyDescent="0.3">
      <c r="A25" s="10" t="s">
        <v>99</v>
      </c>
      <c r="B25" s="20">
        <v>42252</v>
      </c>
      <c r="C25" s="20">
        <v>42255</v>
      </c>
      <c r="D25" s="11" t="s">
        <v>100</v>
      </c>
      <c r="E25" s="11" t="str">
        <f t="shared" si="0"/>
        <v>Valerie Dominguez</v>
      </c>
      <c r="F25" s="11" t="s">
        <v>101</v>
      </c>
      <c r="G25" s="11" t="str">
        <f t="shared" si="1"/>
        <v>El Salvador</v>
      </c>
      <c r="H25" s="11" t="s">
        <v>98</v>
      </c>
      <c r="I25" s="11" t="s">
        <v>32</v>
      </c>
      <c r="J25" s="11"/>
      <c r="K25" s="11" t="s">
        <v>73</v>
      </c>
      <c r="L25" s="24">
        <v>2106.4960000000001</v>
      </c>
      <c r="M25" s="23">
        <f t="shared" si="4"/>
        <v>2106.4960000000001</v>
      </c>
      <c r="N25" s="32">
        <v>8</v>
      </c>
      <c r="O25" s="32">
        <v>0.2</v>
      </c>
      <c r="P25" s="24">
        <v>526.49599999999998</v>
      </c>
      <c r="Q25" s="23">
        <f t="shared" si="2"/>
        <v>526.49599999999998</v>
      </c>
      <c r="R25" s="11" t="s">
        <v>27</v>
      </c>
      <c r="S25" s="29" t="str">
        <f t="shared" si="3"/>
        <v>Critical</v>
      </c>
    </row>
    <row r="26" spans="1:19" x14ac:dyDescent="0.3">
      <c r="A26" s="8" t="s">
        <v>102</v>
      </c>
      <c r="B26" s="19">
        <v>41259</v>
      </c>
      <c r="C26" s="19">
        <v>41262</v>
      </c>
      <c r="D26" s="9" t="s">
        <v>103</v>
      </c>
      <c r="E26" s="9" t="str">
        <f t="shared" si="0"/>
        <v>Phillip Breyer</v>
      </c>
      <c r="F26" s="9" t="s">
        <v>104</v>
      </c>
      <c r="G26" s="9" t="str">
        <f t="shared" si="1"/>
        <v>Taiwan</v>
      </c>
      <c r="H26" s="9" t="s">
        <v>90</v>
      </c>
      <c r="I26" s="9" t="s">
        <v>32</v>
      </c>
      <c r="J26" s="9"/>
      <c r="K26" s="9" t="s">
        <v>26</v>
      </c>
      <c r="L26" s="23">
        <v>1715.1599999999901</v>
      </c>
      <c r="M26" s="23">
        <f t="shared" si="4"/>
        <v>1715.1599999999901</v>
      </c>
      <c r="N26" s="31">
        <v>0</v>
      </c>
      <c r="O26" s="31">
        <v>0</v>
      </c>
      <c r="P26" s="23">
        <v>720.36</v>
      </c>
      <c r="Q26" s="23">
        <f t="shared" si="2"/>
        <v>720.36</v>
      </c>
      <c r="R26" s="9" t="s">
        <v>27</v>
      </c>
      <c r="S26" s="29" t="str">
        <f t="shared" si="3"/>
        <v>Critical</v>
      </c>
    </row>
    <row r="27" spans="1:19" x14ac:dyDescent="0.3">
      <c r="A27" s="10" t="s">
        <v>105</v>
      </c>
      <c r="B27" s="11" t="s">
        <v>279</v>
      </c>
      <c r="C27" s="20">
        <v>40984</v>
      </c>
      <c r="D27" s="11" t="s">
        <v>106</v>
      </c>
      <c r="E27" s="11" t="str">
        <f t="shared" si="0"/>
        <v>Eugene Barchas</v>
      </c>
      <c r="F27" s="11" t="s">
        <v>22</v>
      </c>
      <c r="G27" s="11" t="str">
        <f t="shared" si="1"/>
        <v>Germany</v>
      </c>
      <c r="H27" s="11" t="s">
        <v>107</v>
      </c>
      <c r="I27" s="11" t="s">
        <v>45</v>
      </c>
      <c r="J27" s="11"/>
      <c r="K27" s="11" t="s">
        <v>44</v>
      </c>
      <c r="L27" s="24">
        <v>3069.7379999999998</v>
      </c>
      <c r="M27" s="23">
        <f t="shared" si="4"/>
        <v>3069.7379999999998</v>
      </c>
      <c r="N27" s="32">
        <v>6</v>
      </c>
      <c r="O27" s="32">
        <v>0.1</v>
      </c>
      <c r="P27" s="24">
        <v>1364.2379999999901</v>
      </c>
      <c r="Q27" s="23">
        <f t="shared" si="2"/>
        <v>1364.2379999999901</v>
      </c>
      <c r="R27" s="11" t="s">
        <v>27</v>
      </c>
      <c r="S27" s="29" t="str">
        <f t="shared" si="3"/>
        <v>Critical</v>
      </c>
    </row>
    <row r="28" spans="1:19" x14ac:dyDescent="0.3">
      <c r="A28" s="8" t="s">
        <v>109</v>
      </c>
      <c r="B28" s="19">
        <v>41020</v>
      </c>
      <c r="C28" s="19">
        <v>41022</v>
      </c>
      <c r="D28" s="9" t="s">
        <v>110</v>
      </c>
      <c r="E28" s="9" t="str">
        <f t="shared" si="0"/>
        <v>Aaron Hawkins</v>
      </c>
      <c r="F28" s="9" t="s">
        <v>40</v>
      </c>
      <c r="G28" s="9" t="str">
        <f t="shared" si="1"/>
        <v>United States</v>
      </c>
      <c r="H28" s="9" t="s">
        <v>111</v>
      </c>
      <c r="I28" s="9" t="s">
        <v>45</v>
      </c>
      <c r="J28" s="9"/>
      <c r="K28" s="9" t="s">
        <v>44</v>
      </c>
      <c r="L28" s="23">
        <v>247.84</v>
      </c>
      <c r="M28" s="23">
        <f t="shared" si="4"/>
        <v>247.84</v>
      </c>
      <c r="N28" s="31">
        <v>8</v>
      </c>
      <c r="O28" s="31">
        <v>0</v>
      </c>
      <c r="P28" s="23">
        <v>121.44159999999999</v>
      </c>
      <c r="Q28" s="23">
        <f t="shared" si="2"/>
        <v>121.44159999999999</v>
      </c>
      <c r="R28" s="9" t="s">
        <v>27</v>
      </c>
      <c r="S28" s="29" t="str">
        <f t="shared" si="3"/>
        <v>Critical</v>
      </c>
    </row>
    <row r="29" spans="1:19" x14ac:dyDescent="0.3">
      <c r="A29" s="10" t="s">
        <v>112</v>
      </c>
      <c r="B29" s="20">
        <v>41329</v>
      </c>
      <c r="C29" s="20">
        <v>41329</v>
      </c>
      <c r="D29" s="11" t="s">
        <v>113</v>
      </c>
      <c r="E29" s="11" t="str">
        <f t="shared" si="0"/>
        <v>Benjamin Patterson</v>
      </c>
      <c r="F29" s="11" t="s">
        <v>114</v>
      </c>
      <c r="G29" s="11" t="str">
        <f t="shared" si="1"/>
        <v>India</v>
      </c>
      <c r="H29" s="11" t="s">
        <v>115</v>
      </c>
      <c r="I29" s="11" t="s">
        <v>32</v>
      </c>
      <c r="J29" s="11"/>
      <c r="K29" s="11" t="s">
        <v>73</v>
      </c>
      <c r="L29" s="24">
        <v>1878.71999999999</v>
      </c>
      <c r="M29" s="23">
        <f t="shared" si="4"/>
        <v>1878.71999999999</v>
      </c>
      <c r="N29" s="32">
        <v>4</v>
      </c>
      <c r="O29" s="32" t="s">
        <v>282</v>
      </c>
      <c r="P29" s="24">
        <v>582.36</v>
      </c>
      <c r="Q29" s="23">
        <f t="shared" si="2"/>
        <v>582.36</v>
      </c>
      <c r="R29" s="11" t="s">
        <v>27</v>
      </c>
      <c r="S29" s="29" t="str">
        <f t="shared" si="3"/>
        <v>Critical</v>
      </c>
    </row>
    <row r="30" spans="1:19" x14ac:dyDescent="0.3">
      <c r="A30" s="8" t="s">
        <v>116</v>
      </c>
      <c r="B30" s="19">
        <v>41270</v>
      </c>
      <c r="C30" s="9" t="s">
        <v>117</v>
      </c>
      <c r="D30" s="9" t="s">
        <v>118</v>
      </c>
      <c r="E30" s="9" t="str">
        <f t="shared" si="0"/>
        <v>Rick Reed</v>
      </c>
      <c r="F30" s="9" t="s">
        <v>119</v>
      </c>
      <c r="G30" s="9" t="str">
        <f t="shared" si="1"/>
        <v>Dominican Republic</v>
      </c>
      <c r="H30" s="9" t="s">
        <v>120</v>
      </c>
      <c r="I30" s="9" t="s">
        <v>17</v>
      </c>
      <c r="J30" s="9"/>
      <c r="K30" s="9" t="s">
        <v>26</v>
      </c>
      <c r="L30" s="23">
        <v>1696.64</v>
      </c>
      <c r="M30" s="23">
        <f t="shared" si="4"/>
        <v>1696.64</v>
      </c>
      <c r="N30" s="31">
        <v>5</v>
      </c>
      <c r="O30" s="31" t="s">
        <v>282</v>
      </c>
      <c r="P30" s="23">
        <v>-148.46</v>
      </c>
      <c r="Q30" s="23">
        <f t="shared" si="2"/>
        <v>-148.46</v>
      </c>
      <c r="R30" s="9" t="s">
        <v>27</v>
      </c>
      <c r="S30" s="29" t="str">
        <f t="shared" si="3"/>
        <v>Critical</v>
      </c>
    </row>
    <row r="31" spans="1:19" x14ac:dyDescent="0.3">
      <c r="A31" s="10" t="s">
        <v>121</v>
      </c>
      <c r="B31" s="20">
        <v>41472</v>
      </c>
      <c r="C31" s="20">
        <v>41474</v>
      </c>
      <c r="D31" s="11" t="s">
        <v>122</v>
      </c>
      <c r="E31" s="11" t="str">
        <f t="shared" si="0"/>
        <v>Bill Shonely</v>
      </c>
      <c r="F31" s="11" t="s">
        <v>70</v>
      </c>
      <c r="G31" s="11" t="str">
        <f t="shared" si="1"/>
        <v>France</v>
      </c>
      <c r="H31" s="11" t="s">
        <v>71</v>
      </c>
      <c r="I31" s="11" t="s">
        <v>17</v>
      </c>
      <c r="J31" s="11"/>
      <c r="K31" s="11" t="s">
        <v>23</v>
      </c>
      <c r="L31" s="24">
        <v>2402.8649999999998</v>
      </c>
      <c r="M31" s="23">
        <f t="shared" si="4"/>
        <v>2402.8649999999998</v>
      </c>
      <c r="N31" s="32">
        <v>9</v>
      </c>
      <c r="O31" s="32">
        <v>0.15</v>
      </c>
      <c r="P31" s="24">
        <v>763.15499999999997</v>
      </c>
      <c r="Q31" s="23">
        <f t="shared" si="2"/>
        <v>763.15499999999997</v>
      </c>
      <c r="R31" s="11" t="s">
        <v>27</v>
      </c>
      <c r="S31" s="29" t="str">
        <f t="shared" si="3"/>
        <v>Critical</v>
      </c>
    </row>
    <row r="32" spans="1:19" x14ac:dyDescent="0.3">
      <c r="A32" s="8" t="s">
        <v>123</v>
      </c>
      <c r="B32" s="19">
        <v>41635</v>
      </c>
      <c r="C32" s="19">
        <v>41639</v>
      </c>
      <c r="D32" s="9" t="s">
        <v>110</v>
      </c>
      <c r="E32" s="9" t="str">
        <f t="shared" si="0"/>
        <v>Aaron Hawkins</v>
      </c>
      <c r="F32" s="9" t="s">
        <v>40</v>
      </c>
      <c r="G32" s="9" t="str">
        <f t="shared" si="1"/>
        <v>United States</v>
      </c>
      <c r="H32" s="9" t="s">
        <v>43</v>
      </c>
      <c r="I32" s="9" t="s">
        <v>17</v>
      </c>
      <c r="J32" s="9"/>
      <c r="K32" s="9" t="s">
        <v>26</v>
      </c>
      <c r="L32" s="23">
        <v>668.16</v>
      </c>
      <c r="M32" s="23">
        <f t="shared" si="4"/>
        <v>668.16</v>
      </c>
      <c r="N32" s="31">
        <v>9</v>
      </c>
      <c r="O32" s="31">
        <v>0.2</v>
      </c>
      <c r="P32" s="23">
        <v>75.167999999999907</v>
      </c>
      <c r="Q32" s="23">
        <f t="shared" si="2"/>
        <v>75.167999999999907</v>
      </c>
      <c r="R32" s="9" t="s">
        <v>19</v>
      </c>
      <c r="S32" s="29" t="str">
        <f t="shared" si="3"/>
        <v>Medium</v>
      </c>
    </row>
    <row r="33" spans="1:19" x14ac:dyDescent="0.3">
      <c r="A33" s="10" t="s">
        <v>124</v>
      </c>
      <c r="B33" s="11" t="s">
        <v>125</v>
      </c>
      <c r="C33" s="20">
        <v>41217</v>
      </c>
      <c r="D33" s="11" t="s">
        <v>126</v>
      </c>
      <c r="E33" s="11" t="str">
        <f t="shared" si="0"/>
        <v>Dave Poirier</v>
      </c>
      <c r="F33" s="11" t="s">
        <v>15</v>
      </c>
      <c r="G33" s="11" t="str">
        <f t="shared" si="1"/>
        <v>Australia</v>
      </c>
      <c r="H33" s="11" t="s">
        <v>16</v>
      </c>
      <c r="I33" s="11" t="s">
        <v>45</v>
      </c>
      <c r="J33" s="11"/>
      <c r="K33" s="11" t="s">
        <v>127</v>
      </c>
      <c r="L33" s="24">
        <v>2526.9299999999998</v>
      </c>
      <c r="M33" s="23">
        <f t="shared" si="4"/>
        <v>2526.9299999999998</v>
      </c>
      <c r="N33" s="32">
        <v>5</v>
      </c>
      <c r="O33" s="32">
        <v>0.1</v>
      </c>
      <c r="P33" s="24">
        <v>561.48</v>
      </c>
      <c r="Q33" s="23">
        <f t="shared" si="2"/>
        <v>561.48</v>
      </c>
      <c r="R33" s="11" t="s">
        <v>27</v>
      </c>
      <c r="S33" s="29" t="str">
        <f t="shared" si="3"/>
        <v>Critical</v>
      </c>
    </row>
    <row r="34" spans="1:19" x14ac:dyDescent="0.3">
      <c r="A34" s="8" t="s">
        <v>128</v>
      </c>
      <c r="B34" s="19">
        <v>41635</v>
      </c>
      <c r="C34" s="19">
        <v>41639</v>
      </c>
      <c r="D34" s="9" t="s">
        <v>110</v>
      </c>
      <c r="E34" s="9" t="str">
        <f t="shared" si="0"/>
        <v>Aaron Hawkins</v>
      </c>
      <c r="F34" s="9" t="s">
        <v>40</v>
      </c>
      <c r="G34" s="9" t="str">
        <f t="shared" si="1"/>
        <v>United States</v>
      </c>
      <c r="H34" s="9" t="s">
        <v>43</v>
      </c>
      <c r="I34" s="9" t="s">
        <v>45</v>
      </c>
      <c r="J34" s="9"/>
      <c r="K34" s="9" t="s">
        <v>23</v>
      </c>
      <c r="L34" s="23">
        <v>323.10000000000002</v>
      </c>
      <c r="M34" s="23">
        <f t="shared" si="4"/>
        <v>323.10000000000002</v>
      </c>
      <c r="N34" s="31">
        <v>2</v>
      </c>
      <c r="O34" s="31">
        <v>0</v>
      </c>
      <c r="P34" s="23">
        <v>61.389000000000003</v>
      </c>
      <c r="Q34" s="23">
        <f t="shared" si="2"/>
        <v>61.389000000000003</v>
      </c>
      <c r="R34" s="9" t="s">
        <v>19</v>
      </c>
      <c r="S34" s="29" t="str">
        <f t="shared" si="3"/>
        <v>Medium</v>
      </c>
    </row>
    <row r="35" spans="1:19" x14ac:dyDescent="0.3">
      <c r="A35" s="10" t="s">
        <v>129</v>
      </c>
      <c r="B35" s="20">
        <v>41165</v>
      </c>
      <c r="C35" s="20">
        <v>41166</v>
      </c>
      <c r="D35" s="11" t="s">
        <v>110</v>
      </c>
      <c r="E35" s="11" t="str">
        <f t="shared" si="0"/>
        <v>Aaron Hawkins</v>
      </c>
      <c r="F35" s="11"/>
      <c r="G35" s="11" t="str">
        <f t="shared" si="1"/>
        <v>UNKNOWN</v>
      </c>
      <c r="H35" s="11" t="s">
        <v>131</v>
      </c>
      <c r="I35" s="11" t="s">
        <v>132</v>
      </c>
      <c r="J35" s="11"/>
      <c r="K35" s="11" t="s">
        <v>73</v>
      </c>
      <c r="L35" s="24">
        <v>3817.26</v>
      </c>
      <c r="M35" s="23">
        <f t="shared" si="4"/>
        <v>3817.26</v>
      </c>
      <c r="N35" s="32">
        <v>6</v>
      </c>
      <c r="O35" s="32">
        <v>0</v>
      </c>
      <c r="P35" s="24">
        <v>1068.6599999999901</v>
      </c>
      <c r="Q35" s="23">
        <f t="shared" si="2"/>
        <v>1068.6599999999901</v>
      </c>
      <c r="R35" s="11" t="s">
        <v>37</v>
      </c>
      <c r="S35" s="29" t="str">
        <f t="shared" si="3"/>
        <v>High</v>
      </c>
    </row>
    <row r="36" spans="1:19" x14ac:dyDescent="0.3">
      <c r="A36" s="8" t="s">
        <v>133</v>
      </c>
      <c r="B36" s="19">
        <v>41041</v>
      </c>
      <c r="C36" s="9" t="s">
        <v>134</v>
      </c>
      <c r="D36" s="9" t="s">
        <v>110</v>
      </c>
      <c r="E36" s="9" t="str">
        <f t="shared" si="0"/>
        <v>Aaron Hawkins</v>
      </c>
      <c r="F36" s="9" t="s">
        <v>40</v>
      </c>
      <c r="G36" s="9" t="str">
        <f t="shared" si="1"/>
        <v>United States</v>
      </c>
      <c r="H36" s="9" t="s">
        <v>43</v>
      </c>
      <c r="I36" s="9" t="s">
        <v>32</v>
      </c>
      <c r="J36" s="9"/>
      <c r="K36" s="9" t="s">
        <v>44</v>
      </c>
      <c r="L36" s="23">
        <v>279.45600000000002</v>
      </c>
      <c r="M36" s="23">
        <f t="shared" si="4"/>
        <v>279.45600000000002</v>
      </c>
      <c r="N36" s="31">
        <v>6</v>
      </c>
      <c r="O36" s="31">
        <v>0.2</v>
      </c>
      <c r="P36" s="23">
        <v>20.9591999999999</v>
      </c>
      <c r="Q36" s="23">
        <f t="shared" si="2"/>
        <v>20.9591999999999</v>
      </c>
      <c r="R36" s="9" t="s">
        <v>19</v>
      </c>
      <c r="S36" s="29" t="str">
        <f t="shared" si="3"/>
        <v>Medium</v>
      </c>
    </row>
    <row r="37" spans="1:19" x14ac:dyDescent="0.3">
      <c r="A37" s="10" t="s">
        <v>135</v>
      </c>
      <c r="B37" s="20">
        <v>41273</v>
      </c>
      <c r="C37" s="20">
        <v>41274</v>
      </c>
      <c r="D37" s="11"/>
      <c r="E37" s="11" t="str">
        <f t="shared" si="0"/>
        <v>UNKNOWN</v>
      </c>
      <c r="F37" s="11" t="s">
        <v>40</v>
      </c>
      <c r="G37" s="11" t="str">
        <f t="shared" si="1"/>
        <v>United States</v>
      </c>
      <c r="H37" s="11" t="s">
        <v>111</v>
      </c>
      <c r="I37" s="11" t="s">
        <v>17</v>
      </c>
      <c r="J37" s="11"/>
      <c r="K37" s="11" t="s">
        <v>26</v>
      </c>
      <c r="L37" s="24">
        <v>34.769999999999897</v>
      </c>
      <c r="M37" s="23">
        <f t="shared" si="4"/>
        <v>34.769999999999897</v>
      </c>
      <c r="N37" s="32">
        <v>3</v>
      </c>
      <c r="O37" s="32">
        <v>0</v>
      </c>
      <c r="P37" s="24">
        <v>11.4740999999999</v>
      </c>
      <c r="Q37" s="23">
        <f t="shared" si="2"/>
        <v>11.4740999999999</v>
      </c>
      <c r="R37" s="11" t="s">
        <v>37</v>
      </c>
      <c r="S37" s="29" t="str">
        <f t="shared" si="3"/>
        <v>High</v>
      </c>
    </row>
    <row r="38" spans="1:19" x14ac:dyDescent="0.3">
      <c r="A38" s="8" t="s">
        <v>136</v>
      </c>
      <c r="B38" s="19">
        <v>42018</v>
      </c>
      <c r="C38" s="19">
        <v>42022</v>
      </c>
      <c r="D38" s="9"/>
      <c r="E38" s="9" t="str">
        <f t="shared" si="0"/>
        <v>UNKNOWN</v>
      </c>
      <c r="F38" s="9" t="s">
        <v>93</v>
      </c>
      <c r="G38" s="9" t="str">
        <f t="shared" si="1"/>
        <v>United Kingdom</v>
      </c>
      <c r="H38" s="9" t="s">
        <v>94</v>
      </c>
      <c r="I38" s="9" t="s">
        <v>17</v>
      </c>
      <c r="J38" s="9"/>
      <c r="K38" s="9" t="s">
        <v>127</v>
      </c>
      <c r="L38" s="23">
        <v>4141.0200000000004</v>
      </c>
      <c r="M38" s="23">
        <f t="shared" si="4"/>
        <v>4141.0200000000004</v>
      </c>
      <c r="N38" s="31">
        <v>13</v>
      </c>
      <c r="O38" s="31">
        <v>0</v>
      </c>
      <c r="P38" s="23">
        <v>1697.67</v>
      </c>
      <c r="Q38" s="23">
        <f t="shared" si="2"/>
        <v>1697.67</v>
      </c>
      <c r="R38" s="9" t="s">
        <v>37</v>
      </c>
      <c r="S38" s="29" t="str">
        <f t="shared" si="3"/>
        <v>High</v>
      </c>
    </row>
    <row r="39" spans="1:19" x14ac:dyDescent="0.3">
      <c r="A39" s="10" t="s">
        <v>137</v>
      </c>
      <c r="B39" s="20">
        <v>40918</v>
      </c>
      <c r="C39" s="20">
        <v>41214</v>
      </c>
      <c r="D39" s="11" t="s">
        <v>138</v>
      </c>
      <c r="E39" s="11" t="str">
        <f t="shared" si="0"/>
        <v>Dan Lawera</v>
      </c>
      <c r="F39" s="11" t="s">
        <v>15</v>
      </c>
      <c r="G39" s="11" t="str">
        <f t="shared" si="1"/>
        <v>Australia</v>
      </c>
      <c r="H39" s="11" t="s">
        <v>16</v>
      </c>
      <c r="I39" s="11" t="s">
        <v>17</v>
      </c>
      <c r="J39" s="11"/>
      <c r="K39" s="11" t="s">
        <v>127</v>
      </c>
      <c r="L39" s="24">
        <v>2875.0949999999998</v>
      </c>
      <c r="M39" s="23">
        <f t="shared" si="4"/>
        <v>2875.0949999999998</v>
      </c>
      <c r="N39" s="32">
        <v>5</v>
      </c>
      <c r="O39" s="32">
        <v>0.1</v>
      </c>
      <c r="P39" s="24">
        <v>511.094999999999</v>
      </c>
      <c r="Q39" s="23">
        <f t="shared" si="2"/>
        <v>511.094999999999</v>
      </c>
      <c r="R39" s="11" t="s">
        <v>19</v>
      </c>
      <c r="S39" s="29" t="str">
        <f t="shared" si="3"/>
        <v>Medium</v>
      </c>
    </row>
    <row r="40" spans="1:19" x14ac:dyDescent="0.3">
      <c r="A40" s="8" t="s">
        <v>139</v>
      </c>
      <c r="B40" s="19">
        <v>41873</v>
      </c>
      <c r="C40" s="19">
        <v>41877</v>
      </c>
      <c r="D40" s="9" t="s">
        <v>140</v>
      </c>
      <c r="E40" s="9" t="str">
        <f t="shared" si="0"/>
        <v>Joy Bell-</v>
      </c>
      <c r="F40" s="9" t="s">
        <v>141</v>
      </c>
      <c r="G40" s="9" t="str">
        <f t="shared" si="1"/>
        <v>Indonesia</v>
      </c>
      <c r="H40" s="9" t="s">
        <v>142</v>
      </c>
      <c r="I40" s="9" t="s">
        <v>17</v>
      </c>
      <c r="J40" s="9"/>
      <c r="K40" s="9" t="s">
        <v>33</v>
      </c>
      <c r="L40" s="23">
        <v>3200.5962</v>
      </c>
      <c r="M40" s="23">
        <f t="shared" si="4"/>
        <v>3200.5962</v>
      </c>
      <c r="N40" s="31">
        <v>6</v>
      </c>
      <c r="O40" s="31">
        <v>0.17</v>
      </c>
      <c r="P40" s="23">
        <v>-77.203799999999802</v>
      </c>
      <c r="Q40" s="23">
        <f t="shared" si="2"/>
        <v>-77.203799999999802</v>
      </c>
      <c r="R40" s="9" t="s">
        <v>37</v>
      </c>
      <c r="S40" s="29" t="str">
        <f t="shared" si="3"/>
        <v>High</v>
      </c>
    </row>
    <row r="41" spans="1:19" x14ac:dyDescent="0.3">
      <c r="A41" s="10" t="s">
        <v>143</v>
      </c>
      <c r="B41" s="20">
        <v>42319</v>
      </c>
      <c r="C41" s="20">
        <v>42323</v>
      </c>
      <c r="D41" s="11" t="s">
        <v>144</v>
      </c>
      <c r="E41" s="11" t="str">
        <f t="shared" si="0"/>
        <v>Barry Franz</v>
      </c>
      <c r="F41" s="11" t="s">
        <v>114</v>
      </c>
      <c r="G41" s="11" t="str">
        <f t="shared" si="1"/>
        <v>India</v>
      </c>
      <c r="H41" s="11" t="s">
        <v>115</v>
      </c>
      <c r="I41" s="11" t="s">
        <v>17</v>
      </c>
      <c r="J41" s="11"/>
      <c r="K41" s="11" t="s">
        <v>26</v>
      </c>
      <c r="L41" s="24">
        <v>4518.78</v>
      </c>
      <c r="M41" s="23">
        <f t="shared" si="4"/>
        <v>4518.78</v>
      </c>
      <c r="N41" s="32">
        <v>7</v>
      </c>
      <c r="O41" s="32">
        <v>0</v>
      </c>
      <c r="P41" s="24">
        <v>632.52</v>
      </c>
      <c r="Q41" s="23">
        <f t="shared" si="2"/>
        <v>632.52</v>
      </c>
      <c r="R41" s="11" t="s">
        <v>37</v>
      </c>
      <c r="S41" s="29" t="str">
        <f t="shared" si="3"/>
        <v>High</v>
      </c>
    </row>
    <row r="42" spans="1:19" x14ac:dyDescent="0.3">
      <c r="A42" s="8" t="s">
        <v>145</v>
      </c>
      <c r="B42" s="19">
        <v>42273</v>
      </c>
      <c r="C42" s="19">
        <v>42275</v>
      </c>
      <c r="D42" s="9" t="s">
        <v>146</v>
      </c>
      <c r="E42" s="9" t="str">
        <f t="shared" si="0"/>
        <v>Vivek Grady</v>
      </c>
      <c r="F42" s="9" t="s">
        <v>114</v>
      </c>
      <c r="G42" s="9" t="str">
        <f t="shared" si="1"/>
        <v>India</v>
      </c>
      <c r="H42" s="9" t="s">
        <v>115</v>
      </c>
      <c r="I42" s="9" t="s">
        <v>32</v>
      </c>
      <c r="J42" s="9"/>
      <c r="K42" s="9" t="s">
        <v>26</v>
      </c>
      <c r="L42" s="23">
        <v>5667.87</v>
      </c>
      <c r="M42" s="23">
        <f t="shared" si="4"/>
        <v>5667.87</v>
      </c>
      <c r="N42" s="31">
        <v>13</v>
      </c>
      <c r="O42" s="31">
        <v>0</v>
      </c>
      <c r="P42" s="23">
        <v>2097.0300000000002</v>
      </c>
      <c r="Q42" s="23">
        <f t="shared" si="2"/>
        <v>2097.0300000000002</v>
      </c>
      <c r="R42" s="9" t="s">
        <v>19</v>
      </c>
      <c r="S42" s="29" t="str">
        <f t="shared" si="3"/>
        <v>Medium</v>
      </c>
    </row>
    <row r="43" spans="1:19" x14ac:dyDescent="0.3">
      <c r="A43" s="10" t="s">
        <v>147</v>
      </c>
      <c r="B43" s="20">
        <v>41621</v>
      </c>
      <c r="C43" s="20">
        <v>41625</v>
      </c>
      <c r="D43" s="11" t="s">
        <v>148</v>
      </c>
      <c r="E43" s="11" t="str">
        <f t="shared" si="0"/>
        <v>Greg Tran</v>
      </c>
      <c r="F43" s="11" t="s">
        <v>93</v>
      </c>
      <c r="G43" s="11" t="str">
        <f t="shared" si="1"/>
        <v>United Kingdom</v>
      </c>
      <c r="H43" s="11" t="s">
        <v>94</v>
      </c>
      <c r="I43" s="11" t="s">
        <v>17</v>
      </c>
      <c r="J43" s="11"/>
      <c r="K43" s="11" t="s">
        <v>26</v>
      </c>
      <c r="L43" s="24">
        <v>5785.0199999999904</v>
      </c>
      <c r="M43" s="23">
        <f t="shared" si="4"/>
        <v>5785.0199999999904</v>
      </c>
      <c r="N43" s="32">
        <v>9</v>
      </c>
      <c r="O43" s="32">
        <v>0</v>
      </c>
      <c r="P43" s="24">
        <v>404.73</v>
      </c>
      <c r="Q43" s="23">
        <f t="shared" si="2"/>
        <v>404.73</v>
      </c>
      <c r="R43" s="11" t="s">
        <v>37</v>
      </c>
      <c r="S43" s="29" t="str">
        <f t="shared" si="3"/>
        <v>High</v>
      </c>
    </row>
    <row r="44" spans="1:19" x14ac:dyDescent="0.3">
      <c r="A44" s="8" t="s">
        <v>149</v>
      </c>
      <c r="B44" s="19">
        <v>41174</v>
      </c>
      <c r="C44" s="19">
        <v>41176</v>
      </c>
      <c r="D44" s="9" t="s">
        <v>150</v>
      </c>
      <c r="E44" s="9" t="str">
        <f t="shared" si="0"/>
        <v>Zuschuss Carroll</v>
      </c>
      <c r="F44" s="9" t="s">
        <v>22</v>
      </c>
      <c r="G44" s="9" t="str">
        <f t="shared" si="1"/>
        <v>Germany</v>
      </c>
      <c r="H44" s="9" t="s">
        <v>71</v>
      </c>
      <c r="I44" s="9" t="s">
        <v>45</v>
      </c>
      <c r="J44" s="9"/>
      <c r="K44" s="9" t="s">
        <v>151</v>
      </c>
      <c r="L44" s="23">
        <v>3018.6239999999998</v>
      </c>
      <c r="M44" s="23">
        <f t="shared" si="4"/>
        <v>3018.6239999999998</v>
      </c>
      <c r="N44" s="31">
        <v>7</v>
      </c>
      <c r="O44" s="31">
        <v>0.2</v>
      </c>
      <c r="P44" s="23">
        <v>377.24399999999901</v>
      </c>
      <c r="Q44" s="23">
        <f t="shared" si="2"/>
        <v>377.24399999999901</v>
      </c>
      <c r="R44" s="9" t="s">
        <v>27</v>
      </c>
      <c r="S44" s="29" t="str">
        <f t="shared" si="3"/>
        <v>Critical</v>
      </c>
    </row>
    <row r="45" spans="1:19" x14ac:dyDescent="0.3">
      <c r="A45" s="10" t="s">
        <v>152</v>
      </c>
      <c r="B45" s="20">
        <v>41719</v>
      </c>
      <c r="C45" s="20">
        <v>41724</v>
      </c>
      <c r="D45" s="11"/>
      <c r="E45" s="11" t="str">
        <f t="shared" si="0"/>
        <v>UNKNOWN</v>
      </c>
      <c r="F45" s="11" t="s">
        <v>40</v>
      </c>
      <c r="G45" s="11" t="str">
        <f t="shared" si="1"/>
        <v>United States</v>
      </c>
      <c r="H45" s="11" t="s">
        <v>153</v>
      </c>
      <c r="I45" s="11" t="s">
        <v>32</v>
      </c>
      <c r="J45" s="11"/>
      <c r="K45" s="11" t="s">
        <v>26</v>
      </c>
      <c r="L45" s="24">
        <v>86.45</v>
      </c>
      <c r="M45" s="23">
        <f t="shared" si="4"/>
        <v>86.45</v>
      </c>
      <c r="N45" s="32">
        <v>7</v>
      </c>
      <c r="O45" s="32">
        <v>0</v>
      </c>
      <c r="P45" s="24"/>
      <c r="Q45" s="23">
        <f t="shared" si="2"/>
        <v>579.98262581340987</v>
      </c>
      <c r="R45" s="11" t="s">
        <v>19</v>
      </c>
      <c r="S45" s="29" t="str">
        <f t="shared" si="3"/>
        <v>Medium</v>
      </c>
    </row>
    <row r="46" spans="1:19" x14ac:dyDescent="0.3">
      <c r="A46" s="8" t="s">
        <v>154</v>
      </c>
      <c r="B46" s="19">
        <v>41706</v>
      </c>
      <c r="C46" s="19">
        <v>41854</v>
      </c>
      <c r="D46" s="9" t="s">
        <v>155</v>
      </c>
      <c r="E46" s="9" t="str">
        <f t="shared" si="0"/>
        <v>Elli sBallard</v>
      </c>
      <c r="F46" s="9" t="s">
        <v>70</v>
      </c>
      <c r="G46" s="9" t="str">
        <f t="shared" si="1"/>
        <v>France</v>
      </c>
      <c r="H46" s="9" t="s">
        <v>71</v>
      </c>
      <c r="I46" s="9" t="s">
        <v>32</v>
      </c>
      <c r="J46" s="9"/>
      <c r="K46" s="9" t="s">
        <v>73</v>
      </c>
      <c r="L46" s="23">
        <v>2092.49999999999</v>
      </c>
      <c r="M46" s="23">
        <f t="shared" si="4"/>
        <v>2092.49999999999</v>
      </c>
      <c r="N46" s="31">
        <v>5</v>
      </c>
      <c r="O46" s="31">
        <v>0.1</v>
      </c>
      <c r="P46" s="23">
        <v>720.74999999999898</v>
      </c>
      <c r="Q46" s="23">
        <f t="shared" si="2"/>
        <v>720.74999999999898</v>
      </c>
      <c r="R46" s="9" t="s">
        <v>27</v>
      </c>
      <c r="S46" s="29" t="str">
        <f t="shared" si="3"/>
        <v>Critical</v>
      </c>
    </row>
    <row r="47" spans="1:19" x14ac:dyDescent="0.3">
      <c r="A47" s="10" t="s">
        <v>156</v>
      </c>
      <c r="B47" s="20">
        <v>42244</v>
      </c>
      <c r="C47" s="20">
        <v>42245</v>
      </c>
      <c r="D47" s="11" t="s">
        <v>157</v>
      </c>
      <c r="E47" s="11" t="str">
        <f t="shared" si="0"/>
        <v>Arthur Prichep</v>
      </c>
      <c r="F47" s="11" t="s">
        <v>66</v>
      </c>
      <c r="G47" s="11" t="str">
        <f t="shared" si="1"/>
        <v>China</v>
      </c>
      <c r="H47" s="11" t="s">
        <v>90</v>
      </c>
      <c r="I47" s="11" t="s">
        <v>32</v>
      </c>
      <c r="J47" s="11"/>
      <c r="K47" s="11" t="s">
        <v>46</v>
      </c>
      <c r="L47" s="24">
        <v>2761.2</v>
      </c>
      <c r="M47" s="23">
        <f t="shared" si="4"/>
        <v>2761.2</v>
      </c>
      <c r="N47" s="32">
        <v>6</v>
      </c>
      <c r="O47" s="32">
        <v>0</v>
      </c>
      <c r="P47" s="24">
        <v>110.34</v>
      </c>
      <c r="Q47" s="23">
        <f t="shared" si="2"/>
        <v>110.34</v>
      </c>
      <c r="R47" s="11" t="s">
        <v>37</v>
      </c>
      <c r="S47" s="29" t="str">
        <f t="shared" si="3"/>
        <v>High</v>
      </c>
    </row>
    <row r="48" spans="1:19" x14ac:dyDescent="0.3">
      <c r="A48" s="8" t="s">
        <v>158</v>
      </c>
      <c r="B48" s="19">
        <v>42125</v>
      </c>
      <c r="C48" s="19">
        <v>42125</v>
      </c>
      <c r="D48" s="9" t="s">
        <v>159</v>
      </c>
      <c r="E48" s="9" t="str">
        <f t="shared" si="0"/>
        <v>Scott Williamson</v>
      </c>
      <c r="F48" s="9" t="s">
        <v>114</v>
      </c>
      <c r="G48" s="9" t="str">
        <f t="shared" si="1"/>
        <v>India</v>
      </c>
      <c r="H48" s="9" t="s">
        <v>115</v>
      </c>
      <c r="I48" s="9" t="s">
        <v>17</v>
      </c>
      <c r="J48" s="9"/>
      <c r="K48" s="9" t="s">
        <v>23</v>
      </c>
      <c r="L48" s="23">
        <v>2174.13</v>
      </c>
      <c r="M48" s="23">
        <f t="shared" si="4"/>
        <v>2174.13</v>
      </c>
      <c r="N48" s="31">
        <v>7</v>
      </c>
      <c r="O48" s="31" t="s">
        <v>282</v>
      </c>
      <c r="P48" s="23">
        <v>500.00999999999902</v>
      </c>
      <c r="Q48" s="23">
        <f t="shared" si="2"/>
        <v>500.00999999999902</v>
      </c>
      <c r="R48" s="9" t="s">
        <v>27</v>
      </c>
      <c r="S48" s="29" t="str">
        <f t="shared" si="3"/>
        <v>Critical</v>
      </c>
    </row>
    <row r="49" spans="1:19" x14ac:dyDescent="0.3">
      <c r="A49" s="10" t="s">
        <v>160</v>
      </c>
      <c r="B49" s="11" t="s">
        <v>125</v>
      </c>
      <c r="C49" s="20">
        <v>42358</v>
      </c>
      <c r="D49" s="11" t="s">
        <v>161</v>
      </c>
      <c r="E49" s="11" t="str">
        <f t="shared" si="0"/>
        <v>John Huston</v>
      </c>
      <c r="F49" s="11" t="s">
        <v>162</v>
      </c>
      <c r="G49" s="11" t="str">
        <f t="shared" si="1"/>
        <v>Uruguay</v>
      </c>
      <c r="H49" s="11" t="s">
        <v>61</v>
      </c>
      <c r="I49" s="11" t="s">
        <v>32</v>
      </c>
      <c r="J49" s="11"/>
      <c r="K49" s="11" t="s">
        <v>23</v>
      </c>
      <c r="L49" s="24" t="s">
        <v>163</v>
      </c>
      <c r="M49" s="23" t="str">
        <f t="shared" si="4"/>
        <v>missing</v>
      </c>
      <c r="N49" s="32">
        <v>11</v>
      </c>
      <c r="O49" s="32">
        <v>0</v>
      </c>
      <c r="P49" s="24">
        <v>868.12</v>
      </c>
      <c r="Q49" s="23">
        <f t="shared" si="2"/>
        <v>868.12</v>
      </c>
      <c r="R49" s="11" t="s">
        <v>37</v>
      </c>
      <c r="S49" s="29" t="str">
        <f t="shared" si="3"/>
        <v>High</v>
      </c>
    </row>
    <row r="50" spans="1:19" x14ac:dyDescent="0.3">
      <c r="A50" s="8" t="s">
        <v>164</v>
      </c>
      <c r="B50" s="19">
        <v>41206</v>
      </c>
      <c r="C50" s="19">
        <v>41209</v>
      </c>
      <c r="D50" s="9" t="s">
        <v>110</v>
      </c>
      <c r="E50" s="9" t="str">
        <f t="shared" si="0"/>
        <v>Aaron Hawkins</v>
      </c>
      <c r="F50" s="9" t="s">
        <v>40</v>
      </c>
      <c r="G50" s="9" t="str">
        <f t="shared" si="1"/>
        <v>United States</v>
      </c>
      <c r="H50" s="9" t="s">
        <v>43</v>
      </c>
      <c r="I50" s="9" t="s">
        <v>165</v>
      </c>
      <c r="J50" s="9"/>
      <c r="K50" s="9" t="s">
        <v>127</v>
      </c>
      <c r="L50" s="23">
        <v>49.408000000000001</v>
      </c>
      <c r="M50" s="23">
        <f t="shared" si="4"/>
        <v>49.408000000000001</v>
      </c>
      <c r="N50" s="31">
        <v>4</v>
      </c>
      <c r="O50" s="31">
        <v>0.2</v>
      </c>
      <c r="P50" s="23"/>
      <c r="Q50" s="23">
        <f t="shared" si="2"/>
        <v>579.98262581340987</v>
      </c>
      <c r="R50" s="9" t="s">
        <v>37</v>
      </c>
      <c r="S50" s="29" t="str">
        <f t="shared" si="3"/>
        <v>High</v>
      </c>
    </row>
    <row r="51" spans="1:19" x14ac:dyDescent="0.3">
      <c r="A51" s="10" t="s">
        <v>166</v>
      </c>
      <c r="B51" s="20">
        <v>42265</v>
      </c>
      <c r="C51" s="20">
        <v>42268</v>
      </c>
      <c r="D51" s="11" t="s">
        <v>167</v>
      </c>
      <c r="E51" s="11" t="str">
        <f t="shared" si="0"/>
        <v>Trudy Glocke</v>
      </c>
      <c r="F51" s="11" t="s">
        <v>168</v>
      </c>
      <c r="G51" s="11" t="str">
        <f t="shared" si="1"/>
        <v>Iran</v>
      </c>
      <c r="H51" s="11" t="s">
        <v>169</v>
      </c>
      <c r="I51" s="11" t="s">
        <v>17</v>
      </c>
      <c r="J51" s="11"/>
      <c r="K51" s="11" t="s">
        <v>23</v>
      </c>
      <c r="L51" s="24">
        <v>2108.64</v>
      </c>
      <c r="M51" s="23">
        <f t="shared" si="4"/>
        <v>2108.64</v>
      </c>
      <c r="N51" s="32">
        <v>8</v>
      </c>
      <c r="O51" s="32">
        <v>0</v>
      </c>
      <c r="P51" s="24">
        <v>527.04</v>
      </c>
      <c r="Q51" s="23">
        <f t="shared" si="2"/>
        <v>527.04</v>
      </c>
      <c r="R51" s="11" t="s">
        <v>27</v>
      </c>
      <c r="S51" s="29" t="str">
        <f t="shared" si="3"/>
        <v>Critical</v>
      </c>
    </row>
    <row r="52" spans="1:19" x14ac:dyDescent="0.3">
      <c r="A52" s="8" t="s">
        <v>135</v>
      </c>
      <c r="B52" s="19">
        <v>41273</v>
      </c>
      <c r="C52" s="19">
        <v>41274</v>
      </c>
      <c r="D52" s="9" t="s">
        <v>110</v>
      </c>
      <c r="E52" s="9" t="str">
        <f t="shared" si="0"/>
        <v>Aaron Hawkins</v>
      </c>
      <c r="F52" s="9" t="s">
        <v>40</v>
      </c>
      <c r="G52" s="9" t="str">
        <f t="shared" si="1"/>
        <v>United States</v>
      </c>
      <c r="H52" s="9" t="s">
        <v>111</v>
      </c>
      <c r="I52" s="9" t="s">
        <v>45</v>
      </c>
      <c r="J52" s="9"/>
      <c r="K52" s="9" t="s">
        <v>46</v>
      </c>
      <c r="L52" s="23"/>
      <c r="M52" s="23">
        <f t="shared" si="4"/>
        <v>2393.286139999997</v>
      </c>
      <c r="N52" s="31">
        <v>3</v>
      </c>
      <c r="O52" s="31">
        <v>0</v>
      </c>
      <c r="P52" s="23">
        <v>8.6939999999999902</v>
      </c>
      <c r="Q52" s="23">
        <f t="shared" si="2"/>
        <v>8.6939999999999902</v>
      </c>
      <c r="R52" s="9" t="s">
        <v>37</v>
      </c>
      <c r="S52" s="29" t="str">
        <f t="shared" si="3"/>
        <v>High</v>
      </c>
    </row>
    <row r="53" spans="1:19" x14ac:dyDescent="0.3">
      <c r="A53" s="10" t="s">
        <v>102</v>
      </c>
      <c r="B53" s="11" t="s">
        <v>170</v>
      </c>
      <c r="C53" s="20">
        <v>41262</v>
      </c>
      <c r="D53" s="11" t="s">
        <v>103</v>
      </c>
      <c r="E53" s="11" t="str">
        <f t="shared" si="0"/>
        <v>Phillip Breyer</v>
      </c>
      <c r="F53" s="11" t="s">
        <v>104</v>
      </c>
      <c r="G53" s="11" t="str">
        <f t="shared" si="1"/>
        <v>Taiwan</v>
      </c>
      <c r="H53" s="11" t="s">
        <v>90</v>
      </c>
      <c r="I53" s="11" t="s">
        <v>32</v>
      </c>
      <c r="J53" s="11"/>
      <c r="K53" s="11" t="s">
        <v>33</v>
      </c>
      <c r="L53" s="24"/>
      <c r="M53" s="23">
        <f t="shared" si="4"/>
        <v>2393.286139999997</v>
      </c>
      <c r="N53" s="32">
        <v>5</v>
      </c>
      <c r="O53" s="32">
        <v>0</v>
      </c>
      <c r="P53" s="24"/>
      <c r="Q53" s="23">
        <f t="shared" si="2"/>
        <v>579.98262581340987</v>
      </c>
      <c r="R53" s="11" t="s">
        <v>27</v>
      </c>
      <c r="S53" s="29" t="str">
        <f t="shared" si="3"/>
        <v>Critical</v>
      </c>
    </row>
    <row r="54" spans="1:19" x14ac:dyDescent="0.3">
      <c r="A54" s="8" t="s">
        <v>171</v>
      </c>
      <c r="B54" s="19">
        <v>41991</v>
      </c>
      <c r="C54" s="19">
        <v>41991</v>
      </c>
      <c r="D54" s="9" t="s">
        <v>172</v>
      </c>
      <c r="E54" s="9" t="str">
        <f t="shared" si="0"/>
        <v>Deirdre Greer</v>
      </c>
      <c r="F54" s="9" t="s">
        <v>173</v>
      </c>
      <c r="G54" s="9" t="str">
        <f t="shared" si="1"/>
        <v>Mozambique</v>
      </c>
      <c r="H54" s="9" t="s">
        <v>84</v>
      </c>
      <c r="I54" s="9" t="s">
        <v>17</v>
      </c>
      <c r="J54" s="9"/>
      <c r="K54" s="9" t="s">
        <v>33</v>
      </c>
      <c r="L54" s="23">
        <v>2582.16</v>
      </c>
      <c r="M54" s="23">
        <f t="shared" si="4"/>
        <v>2582.16</v>
      </c>
      <c r="N54" s="31">
        <v>4</v>
      </c>
      <c r="O54" s="31">
        <v>0</v>
      </c>
      <c r="P54" s="23">
        <v>593.88</v>
      </c>
      <c r="Q54" s="23">
        <f t="shared" si="2"/>
        <v>593.88</v>
      </c>
      <c r="R54" s="9"/>
      <c r="S54" s="29" t="str">
        <f t="shared" si="3"/>
        <v>UNKNOWN</v>
      </c>
    </row>
    <row r="55" spans="1:19" x14ac:dyDescent="0.3">
      <c r="A55" s="10" t="s">
        <v>174</v>
      </c>
      <c r="B55" s="20">
        <v>41424</v>
      </c>
      <c r="C55" s="20">
        <v>41425</v>
      </c>
      <c r="D55" s="11" t="s">
        <v>175</v>
      </c>
      <c r="E55" s="11" t="str">
        <f t="shared" si="0"/>
        <v xml:space="preserve"> Sheri Gordon </v>
      </c>
      <c r="F55" s="11" t="s">
        <v>114</v>
      </c>
      <c r="G55" s="11" t="str">
        <f t="shared" si="1"/>
        <v>India</v>
      </c>
      <c r="H55" s="11" t="s">
        <v>115</v>
      </c>
      <c r="I55" s="11" t="s">
        <v>17</v>
      </c>
      <c r="J55" s="11"/>
      <c r="K55" s="11" t="s">
        <v>151</v>
      </c>
      <c r="L55" s="24">
        <v>1526.52</v>
      </c>
      <c r="M55" s="23">
        <f t="shared" si="4"/>
        <v>1526.52</v>
      </c>
      <c r="N55" s="32">
        <v>4</v>
      </c>
      <c r="O55" s="32">
        <v>0</v>
      </c>
      <c r="P55" s="24">
        <v>732.72</v>
      </c>
      <c r="Q55" s="23">
        <f t="shared" si="2"/>
        <v>732.72</v>
      </c>
      <c r="R55" s="11" t="s">
        <v>27</v>
      </c>
      <c r="S55" s="29" t="str">
        <f t="shared" si="3"/>
        <v>Critical</v>
      </c>
    </row>
    <row r="56" spans="1:19" x14ac:dyDescent="0.3">
      <c r="A56" s="8" t="s">
        <v>109</v>
      </c>
      <c r="B56" s="19">
        <v>41020</v>
      </c>
      <c r="C56" s="19">
        <v>41022</v>
      </c>
      <c r="D56" s="9" t="s">
        <v>110</v>
      </c>
      <c r="E56" s="9" t="str">
        <f t="shared" si="0"/>
        <v>Aaron Hawkins</v>
      </c>
      <c r="F56" s="9" t="s">
        <v>40</v>
      </c>
      <c r="G56" s="9" t="str">
        <f t="shared" si="1"/>
        <v>United States</v>
      </c>
      <c r="H56" s="9" t="s">
        <v>176</v>
      </c>
      <c r="I56" s="9" t="s">
        <v>280</v>
      </c>
      <c r="J56" s="9"/>
      <c r="K56" s="9" t="s">
        <v>26</v>
      </c>
      <c r="L56" s="23">
        <v>9.9120000000000008</v>
      </c>
      <c r="M56" s="23">
        <f t="shared" si="4"/>
        <v>9.9120000000000008</v>
      </c>
      <c r="N56" s="31">
        <v>3</v>
      </c>
      <c r="O56" s="31">
        <v>0.2</v>
      </c>
      <c r="P56" s="23"/>
      <c r="Q56" s="23">
        <f t="shared" si="2"/>
        <v>579.98262581340987</v>
      </c>
      <c r="R56" s="9" t="s">
        <v>27</v>
      </c>
      <c r="S56" s="29" t="str">
        <f t="shared" si="3"/>
        <v>Critical</v>
      </c>
    </row>
    <row r="57" spans="1:19" x14ac:dyDescent="0.3">
      <c r="A57" s="10" t="s">
        <v>177</v>
      </c>
      <c r="B57" s="20">
        <v>41419</v>
      </c>
      <c r="C57" s="20">
        <v>41422</v>
      </c>
      <c r="D57" s="11" t="s">
        <v>178</v>
      </c>
      <c r="E57" s="11" t="str">
        <f t="shared" si="0"/>
        <v>Guy Phonely</v>
      </c>
      <c r="F57" s="11" t="s">
        <v>114</v>
      </c>
      <c r="G57" s="11" t="str">
        <f t="shared" si="1"/>
        <v>India</v>
      </c>
      <c r="H57" s="11" t="s">
        <v>115</v>
      </c>
      <c r="I57" s="11" t="s">
        <v>179</v>
      </c>
      <c r="J57" s="11"/>
      <c r="K57" s="11" t="s">
        <v>33</v>
      </c>
      <c r="L57" s="24">
        <v>1745.34</v>
      </c>
      <c r="M57" s="23">
        <f t="shared" si="4"/>
        <v>1745.34</v>
      </c>
      <c r="N57" s="32">
        <v>2</v>
      </c>
      <c r="O57" s="32">
        <v>0</v>
      </c>
      <c r="P57" s="24">
        <v>226.86</v>
      </c>
      <c r="Q57" s="23">
        <f t="shared" si="2"/>
        <v>226.86</v>
      </c>
      <c r="R57" s="11" t="s">
        <v>27</v>
      </c>
      <c r="S57" s="29" t="str">
        <f t="shared" si="3"/>
        <v>Critical</v>
      </c>
    </row>
    <row r="58" spans="1:19" x14ac:dyDescent="0.3">
      <c r="A58" s="8" t="s">
        <v>180</v>
      </c>
      <c r="B58" s="19">
        <v>42221</v>
      </c>
      <c r="C58" s="19">
        <v>42222</v>
      </c>
      <c r="D58" s="9" t="s">
        <v>181</v>
      </c>
      <c r="E58" s="9" t="str">
        <f t="shared" si="0"/>
        <v>Mitch Webber</v>
      </c>
      <c r="F58" s="9" t="s">
        <v>15</v>
      </c>
      <c r="G58" s="9" t="str">
        <f t="shared" si="1"/>
        <v>Australia</v>
      </c>
      <c r="H58" s="9" t="s">
        <v>16</v>
      </c>
      <c r="I58" s="9" t="s">
        <v>45</v>
      </c>
      <c r="J58" s="9"/>
      <c r="K58" s="9" t="s">
        <v>33</v>
      </c>
      <c r="L58" s="23">
        <v>4191.5069999999996</v>
      </c>
      <c r="M58" s="23">
        <f t="shared" si="4"/>
        <v>4191.5069999999996</v>
      </c>
      <c r="N58" s="31">
        <v>9</v>
      </c>
      <c r="O58" s="31">
        <v>0.1</v>
      </c>
      <c r="P58" s="23">
        <v>1164.26699999999</v>
      </c>
      <c r="Q58" s="23">
        <f t="shared" si="2"/>
        <v>1164.26699999999</v>
      </c>
      <c r="R58" s="9" t="s">
        <v>37</v>
      </c>
      <c r="S58" s="29" t="str">
        <f t="shared" si="3"/>
        <v>High</v>
      </c>
    </row>
    <row r="59" spans="1:19" x14ac:dyDescent="0.3">
      <c r="A59" s="10" t="s">
        <v>133</v>
      </c>
      <c r="B59" s="20">
        <v>41041</v>
      </c>
      <c r="C59" s="20">
        <v>41047</v>
      </c>
      <c r="D59" s="11" t="s">
        <v>110</v>
      </c>
      <c r="E59" s="11" t="str">
        <f t="shared" si="0"/>
        <v>Aaron Hawkins</v>
      </c>
      <c r="F59" s="11" t="s">
        <v>40</v>
      </c>
      <c r="G59" s="11" t="str">
        <f t="shared" si="1"/>
        <v>United States</v>
      </c>
      <c r="H59" s="11" t="s">
        <v>43</v>
      </c>
      <c r="I59" s="11" t="s">
        <v>165</v>
      </c>
      <c r="J59" s="11"/>
      <c r="K59" s="11" t="s">
        <v>44</v>
      </c>
      <c r="L59" s="24">
        <v>8</v>
      </c>
      <c r="M59" s="23">
        <f t="shared" si="4"/>
        <v>8</v>
      </c>
      <c r="N59" s="32">
        <v>2</v>
      </c>
      <c r="O59" s="32" t="s">
        <v>282</v>
      </c>
      <c r="P59" s="24">
        <v>3.84</v>
      </c>
      <c r="Q59" s="23">
        <f t="shared" si="2"/>
        <v>3.84</v>
      </c>
      <c r="R59" s="11" t="s">
        <v>19</v>
      </c>
      <c r="S59" s="29" t="str">
        <f t="shared" si="3"/>
        <v>Medium</v>
      </c>
    </row>
    <row r="60" spans="1:19" x14ac:dyDescent="0.3">
      <c r="A60" s="8" t="s">
        <v>182</v>
      </c>
      <c r="B60" s="19">
        <v>42074</v>
      </c>
      <c r="C60" s="9" t="s">
        <v>279</v>
      </c>
      <c r="D60" s="9" t="s">
        <v>183</v>
      </c>
      <c r="E60" s="9" t="str">
        <f t="shared" si="0"/>
        <v>Chuck Sachs</v>
      </c>
      <c r="F60" s="9" t="s">
        <v>184</v>
      </c>
      <c r="G60" s="9" t="str">
        <f t="shared" si="1"/>
        <v>Bangladesh</v>
      </c>
      <c r="H60" s="9" t="s">
        <v>115</v>
      </c>
      <c r="I60" s="9" t="s">
        <v>185</v>
      </c>
      <c r="J60" s="9"/>
      <c r="K60" s="9" t="s">
        <v>73</v>
      </c>
      <c r="L60" s="23">
        <v>3063.27</v>
      </c>
      <c r="M60" s="23">
        <f t="shared" si="4"/>
        <v>3063.27</v>
      </c>
      <c r="N60" s="31">
        <v>7</v>
      </c>
      <c r="O60" s="31">
        <v>0</v>
      </c>
      <c r="P60" s="23">
        <v>581.91</v>
      </c>
      <c r="Q60" s="23">
        <f t="shared" si="2"/>
        <v>581.91</v>
      </c>
      <c r="R60" s="9" t="s">
        <v>37</v>
      </c>
      <c r="S60" s="29" t="str">
        <f t="shared" si="3"/>
        <v>High</v>
      </c>
    </row>
    <row r="61" spans="1:19" x14ac:dyDescent="0.3">
      <c r="A61" s="10" t="s">
        <v>186</v>
      </c>
      <c r="B61" s="20">
        <v>42357</v>
      </c>
      <c r="C61" s="20">
        <v>42361</v>
      </c>
      <c r="D61" s="11" t="s">
        <v>110</v>
      </c>
      <c r="E61" s="11" t="str">
        <f t="shared" si="0"/>
        <v>Aaron Hawkins</v>
      </c>
      <c r="F61" s="11" t="s">
        <v>40</v>
      </c>
      <c r="G61" s="11" t="str">
        <f t="shared" si="1"/>
        <v>United States</v>
      </c>
      <c r="H61" s="11" t="s">
        <v>111</v>
      </c>
      <c r="I61" s="11" t="s">
        <v>45</v>
      </c>
      <c r="J61" s="11"/>
      <c r="K61" s="11" t="s">
        <v>26</v>
      </c>
      <c r="L61" s="24">
        <v>18.704000000000001</v>
      </c>
      <c r="M61" s="23">
        <f t="shared" si="4"/>
        <v>18.704000000000001</v>
      </c>
      <c r="N61" s="32">
        <v>7</v>
      </c>
      <c r="O61" s="32">
        <v>0.2</v>
      </c>
      <c r="P61" s="24">
        <v>2.3379999999999899</v>
      </c>
      <c r="Q61" s="23">
        <f t="shared" si="2"/>
        <v>2.3379999999999899</v>
      </c>
      <c r="R61" s="11" t="s">
        <v>19</v>
      </c>
      <c r="S61" s="29" t="str">
        <f t="shared" si="3"/>
        <v>Medium</v>
      </c>
    </row>
    <row r="62" spans="1:19" x14ac:dyDescent="0.3">
      <c r="A62" s="8" t="s">
        <v>187</v>
      </c>
      <c r="B62" s="19">
        <v>42227</v>
      </c>
      <c r="C62" s="19">
        <v>42232</v>
      </c>
      <c r="D62" s="9" t="s">
        <v>188</v>
      </c>
      <c r="E62" s="9" t="str">
        <f t="shared" si="0"/>
        <v>Michael Stewart</v>
      </c>
      <c r="F62" s="9" t="s">
        <v>22</v>
      </c>
      <c r="G62" s="9" t="str">
        <f t="shared" si="1"/>
        <v>Germany</v>
      </c>
      <c r="H62" s="9" t="s">
        <v>71</v>
      </c>
      <c r="I62" s="9" t="s">
        <v>17</v>
      </c>
      <c r="J62" s="9"/>
      <c r="K62" s="9" t="s">
        <v>151</v>
      </c>
      <c r="L62" s="23">
        <v>4473</v>
      </c>
      <c r="M62" s="23">
        <f t="shared" si="4"/>
        <v>4473</v>
      </c>
      <c r="N62" s="31">
        <v>7</v>
      </c>
      <c r="O62" s="31">
        <v>0</v>
      </c>
      <c r="P62" s="23">
        <v>313.11</v>
      </c>
      <c r="Q62" s="23">
        <f t="shared" si="2"/>
        <v>313.11</v>
      </c>
      <c r="R62" s="9" t="s">
        <v>19</v>
      </c>
      <c r="S62" s="29" t="str">
        <f t="shared" si="3"/>
        <v>Medium</v>
      </c>
    </row>
    <row r="63" spans="1:19" x14ac:dyDescent="0.3">
      <c r="A63" s="10" t="s">
        <v>189</v>
      </c>
      <c r="B63" s="20">
        <v>41882</v>
      </c>
      <c r="C63" s="20">
        <v>41885</v>
      </c>
      <c r="D63" s="11" t="s">
        <v>190</v>
      </c>
      <c r="E63" s="11" t="str">
        <f t="shared" si="0"/>
        <v>Kimberly Carter</v>
      </c>
      <c r="F63" s="11" t="s">
        <v>22</v>
      </c>
      <c r="G63" s="11" t="str">
        <f t="shared" si="1"/>
        <v>Germany</v>
      </c>
      <c r="H63" s="11" t="s">
        <v>71</v>
      </c>
      <c r="I63" s="11" t="s">
        <v>17</v>
      </c>
      <c r="J63" s="11"/>
      <c r="K63" s="11" t="s">
        <v>127</v>
      </c>
      <c r="L63" s="24">
        <v>1502.01</v>
      </c>
      <c r="M63" s="23">
        <f t="shared" si="4"/>
        <v>1502.01</v>
      </c>
      <c r="N63" s="32">
        <v>9</v>
      </c>
      <c r="O63" s="32">
        <v>0</v>
      </c>
      <c r="P63" s="24">
        <v>225.18</v>
      </c>
      <c r="Q63" s="23">
        <f t="shared" si="2"/>
        <v>225.18</v>
      </c>
      <c r="R63" s="11" t="s">
        <v>27</v>
      </c>
      <c r="S63" s="29" t="str">
        <f t="shared" si="3"/>
        <v>Critical</v>
      </c>
    </row>
    <row r="64" spans="1:19" x14ac:dyDescent="0.3">
      <c r="A64" s="8" t="s">
        <v>191</v>
      </c>
      <c r="B64" s="19">
        <v>42022</v>
      </c>
      <c r="C64" s="19">
        <v>42027</v>
      </c>
      <c r="D64" s="9" t="s">
        <v>192</v>
      </c>
      <c r="E64" s="9" t="str">
        <f t="shared" si="0"/>
        <v>Denny Blanton</v>
      </c>
      <c r="F64" s="9" t="s">
        <v>66</v>
      </c>
      <c r="G64" s="9" t="str">
        <f t="shared" si="1"/>
        <v>China</v>
      </c>
      <c r="H64" s="9" t="s">
        <v>90</v>
      </c>
      <c r="I64" s="9" t="s">
        <v>32</v>
      </c>
      <c r="J64" s="9"/>
      <c r="K64" s="9" t="s">
        <v>26</v>
      </c>
      <c r="L64" s="23">
        <v>5048.99999999999</v>
      </c>
      <c r="M64" s="23">
        <f t="shared" si="4"/>
        <v>5048.99999999999</v>
      </c>
      <c r="N64" s="31">
        <v>11</v>
      </c>
      <c r="O64" s="31">
        <v>0</v>
      </c>
      <c r="P64" s="23">
        <v>3799.5593480469101</v>
      </c>
      <c r="Q64" s="23">
        <f t="shared" si="2"/>
        <v>3799.5593480469101</v>
      </c>
      <c r="R64" s="9" t="s">
        <v>37</v>
      </c>
      <c r="S64" s="29" t="str">
        <f t="shared" si="3"/>
        <v>High</v>
      </c>
    </row>
    <row r="65" spans="1:19" x14ac:dyDescent="0.3">
      <c r="A65" s="10" t="s">
        <v>193</v>
      </c>
      <c r="B65" s="20">
        <v>42007</v>
      </c>
      <c r="C65" s="11" t="s">
        <v>279</v>
      </c>
      <c r="D65" s="11" t="s">
        <v>194</v>
      </c>
      <c r="E65" s="11" t="str">
        <f t="shared" si="0"/>
        <v>Aaron Smayling</v>
      </c>
      <c r="F65" s="11" t="s">
        <v>40</v>
      </c>
      <c r="G65" s="11" t="str">
        <f t="shared" si="1"/>
        <v>United States</v>
      </c>
      <c r="H65" s="11" t="s">
        <v>153</v>
      </c>
      <c r="I65" s="11" t="s">
        <v>17</v>
      </c>
      <c r="J65" s="11"/>
      <c r="K65" s="11" t="s">
        <v>26</v>
      </c>
      <c r="L65" s="24">
        <v>695.7</v>
      </c>
      <c r="M65" s="23">
        <f t="shared" si="4"/>
        <v>695.7</v>
      </c>
      <c r="N65" s="32"/>
      <c r="O65" s="32" t="s">
        <v>282</v>
      </c>
      <c r="P65" s="24">
        <v>-27.8279999999999</v>
      </c>
      <c r="Q65" s="23">
        <f t="shared" si="2"/>
        <v>-27.8279999999999</v>
      </c>
      <c r="R65" s="11" t="s">
        <v>37</v>
      </c>
      <c r="S65" s="29" t="str">
        <f t="shared" si="3"/>
        <v>High</v>
      </c>
    </row>
    <row r="66" spans="1:19" x14ac:dyDescent="0.3">
      <c r="A66" s="8" t="s">
        <v>195</v>
      </c>
      <c r="B66" s="19">
        <v>42345</v>
      </c>
      <c r="C66" s="19">
        <v>42228</v>
      </c>
      <c r="D66" s="9" t="s">
        <v>196</v>
      </c>
      <c r="E66" s="9" t="str">
        <f t="shared" si="0"/>
        <v>Dave Kipp</v>
      </c>
      <c r="F66" s="9" t="s">
        <v>197</v>
      </c>
      <c r="G66" s="9" t="str">
        <f t="shared" si="1"/>
        <v>Spain</v>
      </c>
      <c r="H66" s="9" t="s">
        <v>77</v>
      </c>
      <c r="I66" s="9" t="s">
        <v>32</v>
      </c>
      <c r="J66" s="9"/>
      <c r="K66" s="9" t="s">
        <v>23</v>
      </c>
      <c r="L66" s="23">
        <v>2188.0500000000002</v>
      </c>
      <c r="M66" s="23">
        <f t="shared" si="4"/>
        <v>2188.0500000000002</v>
      </c>
      <c r="N66" s="31">
        <v>5</v>
      </c>
      <c r="O66" s="31">
        <v>0</v>
      </c>
      <c r="P66" s="23">
        <v>1050.1500000000001</v>
      </c>
      <c r="Q66" s="23">
        <f t="shared" si="2"/>
        <v>1050.1500000000001</v>
      </c>
      <c r="R66" s="9" t="s">
        <v>37</v>
      </c>
      <c r="S66" s="29" t="str">
        <f t="shared" si="3"/>
        <v>High</v>
      </c>
    </row>
    <row r="67" spans="1:19" x14ac:dyDescent="0.3">
      <c r="A67" s="10" t="s">
        <v>198</v>
      </c>
      <c r="B67" s="11" t="s">
        <v>279</v>
      </c>
      <c r="C67" s="20">
        <v>42357</v>
      </c>
      <c r="D67" s="11" t="s">
        <v>199</v>
      </c>
      <c r="E67" s="11" t="str">
        <f t="shared" ref="E67:E100" si="5">IF(ISBLANK(D67),"UNKNOWN",D67)</f>
        <v>Cari Sayre</v>
      </c>
      <c r="F67" s="11" t="s">
        <v>114</v>
      </c>
      <c r="G67" s="11" t="str">
        <f t="shared" ref="G67:G100" si="6">IF(ISBLANK(F67),"UNKNOWN",F67)</f>
        <v>India</v>
      </c>
      <c r="H67" s="11" t="s">
        <v>115</v>
      </c>
      <c r="I67" s="11" t="s">
        <v>32</v>
      </c>
      <c r="J67" s="11"/>
      <c r="K67" s="11" t="s">
        <v>73</v>
      </c>
      <c r="L67" s="24">
        <v>1920.36</v>
      </c>
      <c r="M67" s="23">
        <f t="shared" ref="M67:M100" si="7">IF(ISBLANK(L67),AVERAGE($L$2:$L$100),L67)</f>
        <v>1920.36</v>
      </c>
      <c r="N67" s="32">
        <v>4</v>
      </c>
      <c r="O67" s="32">
        <v>0</v>
      </c>
      <c r="P67" s="24">
        <v>652.91999999999996</v>
      </c>
      <c r="Q67" s="23">
        <f t="shared" ref="Q67:Q99" si="8">IF(ISBLANK(P67),AVERAGE($P$2:$P$100),P67)</f>
        <v>652.91999999999996</v>
      </c>
      <c r="R67" s="11" t="s">
        <v>27</v>
      </c>
      <c r="S67" s="29" t="str">
        <f t="shared" ref="S67:S100" si="9">IF(ISBLANK(R67),"UNKNOWN",R67)</f>
        <v>Critical</v>
      </c>
    </row>
    <row r="68" spans="1:19" x14ac:dyDescent="0.3">
      <c r="A68" s="8" t="s">
        <v>200</v>
      </c>
      <c r="B68" s="19">
        <v>42328</v>
      </c>
      <c r="C68" s="19">
        <v>42328</v>
      </c>
      <c r="D68" s="9" t="s">
        <v>201</v>
      </c>
      <c r="E68" s="9" t="str">
        <f t="shared" si="5"/>
        <v>Evan Minnotte</v>
      </c>
      <c r="F68" s="9" t="s">
        <v>97</v>
      </c>
      <c r="G68" s="9" t="str">
        <f t="shared" si="6"/>
        <v>Mexico</v>
      </c>
      <c r="H68" s="9" t="s">
        <v>98</v>
      </c>
      <c r="I68" s="9" t="s">
        <v>17</v>
      </c>
      <c r="J68" s="9"/>
      <c r="K68" s="9" t="s">
        <v>151</v>
      </c>
      <c r="L68" s="23">
        <v>1704</v>
      </c>
      <c r="M68" s="23">
        <f t="shared" si="7"/>
        <v>1704</v>
      </c>
      <c r="N68" s="31">
        <v>4</v>
      </c>
      <c r="O68" s="31">
        <v>0</v>
      </c>
      <c r="P68" s="23">
        <v>119.28</v>
      </c>
      <c r="Q68" s="23">
        <f t="shared" si="8"/>
        <v>119.28</v>
      </c>
      <c r="R68" s="9" t="s">
        <v>27</v>
      </c>
      <c r="S68" s="29" t="str">
        <f t="shared" si="9"/>
        <v>Critical</v>
      </c>
    </row>
    <row r="69" spans="1:19" x14ac:dyDescent="0.3">
      <c r="A69" s="10" t="s">
        <v>202</v>
      </c>
      <c r="B69" s="20">
        <v>41221</v>
      </c>
      <c r="C69" s="20">
        <v>41223</v>
      </c>
      <c r="D69" s="11" t="s">
        <v>203</v>
      </c>
      <c r="E69" s="11" t="str">
        <f t="shared" si="5"/>
        <v>Dianna Wilson</v>
      </c>
      <c r="F69" s="11" t="s">
        <v>204</v>
      </c>
      <c r="G69" s="11" t="str">
        <f t="shared" si="6"/>
        <v>Ukraine</v>
      </c>
      <c r="H69" s="11" t="s">
        <v>205</v>
      </c>
      <c r="I69" s="11" t="s">
        <v>32</v>
      </c>
      <c r="J69" s="11"/>
      <c r="K69" s="11" t="s">
        <v>44</v>
      </c>
      <c r="L69" s="24">
        <v>1858.68</v>
      </c>
      <c r="M69" s="23">
        <f t="shared" si="7"/>
        <v>1858.68</v>
      </c>
      <c r="N69" s="32">
        <v>4</v>
      </c>
      <c r="O69" s="32">
        <v>0</v>
      </c>
      <c r="P69" s="24"/>
      <c r="Q69" s="23">
        <f t="shared" si="8"/>
        <v>579.98262581340987</v>
      </c>
      <c r="R69" s="11" t="s">
        <v>27</v>
      </c>
      <c r="S69" s="29" t="str">
        <f t="shared" si="9"/>
        <v>Critical</v>
      </c>
    </row>
    <row r="70" spans="1:19" x14ac:dyDescent="0.3">
      <c r="A70" s="8" t="s">
        <v>206</v>
      </c>
      <c r="B70" s="19">
        <v>41826</v>
      </c>
      <c r="C70" s="19">
        <v>41799</v>
      </c>
      <c r="D70" s="9" t="s">
        <v>207</v>
      </c>
      <c r="E70" s="9" t="str">
        <f t="shared" si="5"/>
        <v>Alan Schoenberger</v>
      </c>
      <c r="F70" s="9" t="s">
        <v>208</v>
      </c>
      <c r="G70" s="9" t="str">
        <f t="shared" si="6"/>
        <v>China#</v>
      </c>
      <c r="H70" s="9" t="s">
        <v>90</v>
      </c>
      <c r="I70" s="9" t="s">
        <v>32</v>
      </c>
      <c r="J70" s="9"/>
      <c r="K70" s="9" t="s">
        <v>26</v>
      </c>
      <c r="L70" s="23">
        <v>3298.2599999999902</v>
      </c>
      <c r="M70" s="23">
        <f t="shared" si="7"/>
        <v>3298.2599999999902</v>
      </c>
      <c r="N70" s="31">
        <v>7</v>
      </c>
      <c r="O70" s="31">
        <v>0</v>
      </c>
      <c r="P70" s="23">
        <v>1055.25</v>
      </c>
      <c r="Q70" s="23">
        <f t="shared" si="8"/>
        <v>1055.25</v>
      </c>
      <c r="R70" s="9" t="s">
        <v>37</v>
      </c>
      <c r="S70" s="29" t="str">
        <f t="shared" si="9"/>
        <v>High</v>
      </c>
    </row>
    <row r="71" spans="1:19" x14ac:dyDescent="0.3">
      <c r="A71" s="10" t="s">
        <v>209</v>
      </c>
      <c r="B71" s="20">
        <v>41234</v>
      </c>
      <c r="C71" s="20">
        <v>41235</v>
      </c>
      <c r="D71" s="11" t="s">
        <v>210</v>
      </c>
      <c r="E71" s="11" t="str">
        <f t="shared" si="5"/>
        <v>Shui Tom</v>
      </c>
      <c r="F71" s="11" t="s">
        <v>211</v>
      </c>
      <c r="G71" s="11" t="str">
        <f t="shared" si="6"/>
        <v>Nicaragua</v>
      </c>
      <c r="H71" s="11" t="s">
        <v>98</v>
      </c>
      <c r="I71" s="11" t="s">
        <v>45</v>
      </c>
      <c r="J71" s="11"/>
      <c r="K71" s="11" t="s">
        <v>44</v>
      </c>
      <c r="L71" s="24">
        <v>2443.48</v>
      </c>
      <c r="M71" s="23">
        <f t="shared" si="7"/>
        <v>2443.48</v>
      </c>
      <c r="N71" s="32">
        <v>13</v>
      </c>
      <c r="O71" s="32">
        <v>0</v>
      </c>
      <c r="P71" s="24" t="s">
        <v>212</v>
      </c>
      <c r="Q71" s="23" t="str">
        <f t="shared" si="8"/>
        <v>121.94000000000001unknown</v>
      </c>
      <c r="R71" s="11" t="s">
        <v>19</v>
      </c>
      <c r="S71" s="29" t="str">
        <f t="shared" si="9"/>
        <v>Medium</v>
      </c>
    </row>
    <row r="72" spans="1:19" x14ac:dyDescent="0.3">
      <c r="A72" s="8" t="s">
        <v>213</v>
      </c>
      <c r="B72" s="19">
        <v>41727</v>
      </c>
      <c r="C72" s="19">
        <v>41729</v>
      </c>
      <c r="D72" s="9" t="s">
        <v>214</v>
      </c>
      <c r="E72" s="9" t="str">
        <f t="shared" si="5"/>
        <v>Barry Weirich</v>
      </c>
      <c r="F72" s="9"/>
      <c r="G72" s="9" t="str">
        <f t="shared" si="6"/>
        <v>UNKNOWN</v>
      </c>
      <c r="H72" s="9" t="s">
        <v>131</v>
      </c>
      <c r="I72" s="9" t="s">
        <v>32</v>
      </c>
      <c r="J72" s="9"/>
      <c r="K72" s="9" t="s">
        <v>23</v>
      </c>
      <c r="L72" s="23"/>
      <c r="M72" s="23">
        <f t="shared" si="7"/>
        <v>2393.286139999997</v>
      </c>
      <c r="N72" s="31">
        <v>8</v>
      </c>
      <c r="O72" s="31">
        <v>0</v>
      </c>
      <c r="P72" s="23">
        <v>1523.52</v>
      </c>
      <c r="Q72" s="23">
        <f t="shared" si="8"/>
        <v>1523.52</v>
      </c>
      <c r="R72" s="9" t="s">
        <v>37</v>
      </c>
      <c r="S72" s="29" t="str">
        <f t="shared" si="9"/>
        <v>High</v>
      </c>
    </row>
    <row r="73" spans="1:19" x14ac:dyDescent="0.3">
      <c r="A73" s="10" t="s">
        <v>215</v>
      </c>
      <c r="B73" s="20">
        <v>42242</v>
      </c>
      <c r="C73" s="20">
        <v>42243</v>
      </c>
      <c r="D73" s="11" t="s">
        <v>216</v>
      </c>
      <c r="E73" s="11" t="str">
        <f t="shared" si="5"/>
        <v>Laura Armstrong</v>
      </c>
      <c r="F73" s="11" t="s">
        <v>141</v>
      </c>
      <c r="G73" s="11" t="str">
        <f t="shared" si="6"/>
        <v>Indonesia</v>
      </c>
      <c r="H73" s="11" t="s">
        <v>142</v>
      </c>
      <c r="I73" s="11" t="s">
        <v>32</v>
      </c>
      <c r="J73" s="11"/>
      <c r="K73" s="11" t="s">
        <v>73</v>
      </c>
      <c r="L73" s="24">
        <v>3427.1495999999902</v>
      </c>
      <c r="M73" s="23">
        <f t="shared" si="7"/>
        <v>3427.1495999999902</v>
      </c>
      <c r="N73" s="32">
        <v>7</v>
      </c>
      <c r="O73" s="32" t="s">
        <v>282</v>
      </c>
      <c r="P73" s="24">
        <v>-452.81039999999899</v>
      </c>
      <c r="Q73" s="23">
        <f t="shared" si="8"/>
        <v>-452.81039999999899</v>
      </c>
      <c r="R73" s="11" t="s">
        <v>37</v>
      </c>
      <c r="S73" s="29" t="str">
        <f t="shared" si="9"/>
        <v>High</v>
      </c>
    </row>
    <row r="74" spans="1:19" x14ac:dyDescent="0.3">
      <c r="A74" s="8" t="s">
        <v>217</v>
      </c>
      <c r="B74" s="19">
        <v>41537</v>
      </c>
      <c r="C74" s="19">
        <v>41539</v>
      </c>
      <c r="D74" s="9" t="s">
        <v>218</v>
      </c>
      <c r="E74" s="9" t="str">
        <f t="shared" si="5"/>
        <v>Aimee Bixby</v>
      </c>
      <c r="F74" s="9" t="s">
        <v>93</v>
      </c>
      <c r="G74" s="9" t="str">
        <f t="shared" si="6"/>
        <v>United Kingdom</v>
      </c>
      <c r="H74" s="9" t="s">
        <v>284</v>
      </c>
      <c r="I74" s="9" t="s">
        <v>17</v>
      </c>
      <c r="J74" s="9"/>
      <c r="K74" s="9" t="s">
        <v>23</v>
      </c>
      <c r="L74" s="23">
        <v>3441.69</v>
      </c>
      <c r="M74" s="23">
        <f t="shared" si="7"/>
        <v>3441.69</v>
      </c>
      <c r="N74" s="31">
        <v>0</v>
      </c>
      <c r="O74" s="31">
        <v>0.1</v>
      </c>
      <c r="P74" s="23">
        <v>38.069999999999901</v>
      </c>
      <c r="Q74" s="23">
        <f t="shared" si="8"/>
        <v>38.069999999999901</v>
      </c>
      <c r="R74" s="9" t="s">
        <v>37</v>
      </c>
      <c r="S74" s="29" t="str">
        <f t="shared" si="9"/>
        <v>High</v>
      </c>
    </row>
    <row r="75" spans="1:19" x14ac:dyDescent="0.3">
      <c r="A75" s="10" t="s">
        <v>219</v>
      </c>
      <c r="B75" s="20">
        <v>42140</v>
      </c>
      <c r="C75" s="20">
        <v>42142</v>
      </c>
      <c r="D75" s="11" t="s">
        <v>161</v>
      </c>
      <c r="E75" s="11" t="str">
        <f t="shared" si="5"/>
        <v>John Huston</v>
      </c>
      <c r="F75" s="11" t="s">
        <v>15</v>
      </c>
      <c r="G75" s="11" t="str">
        <f t="shared" si="6"/>
        <v>Australia</v>
      </c>
      <c r="H75" s="11" t="s">
        <v>16</v>
      </c>
      <c r="I75" s="11" t="s">
        <v>17</v>
      </c>
      <c r="J75" s="11"/>
      <c r="K75" s="11" t="s">
        <v>44</v>
      </c>
      <c r="L75" s="24">
        <v>2863.35</v>
      </c>
      <c r="M75" s="23">
        <f t="shared" si="7"/>
        <v>2863.35</v>
      </c>
      <c r="N75" s="32">
        <v>5</v>
      </c>
      <c r="O75" s="32">
        <v>0.1</v>
      </c>
      <c r="P75" s="24">
        <v>858.9</v>
      </c>
      <c r="Q75" s="23">
        <f t="shared" si="8"/>
        <v>858.9</v>
      </c>
      <c r="R75" s="11" t="s">
        <v>220</v>
      </c>
      <c r="S75" s="29" t="str">
        <f t="shared" si="9"/>
        <v>Critiacl</v>
      </c>
    </row>
    <row r="76" spans="1:19" x14ac:dyDescent="0.3">
      <c r="A76" s="8" t="s">
        <v>277</v>
      </c>
      <c r="B76" s="19">
        <v>42218</v>
      </c>
      <c r="C76" s="19">
        <v>42224</v>
      </c>
      <c r="D76" s="9" t="s">
        <v>194</v>
      </c>
      <c r="E76" s="9" t="str">
        <f t="shared" si="5"/>
        <v>Aaron Smayling</v>
      </c>
      <c r="F76" s="9" t="s">
        <v>40</v>
      </c>
      <c r="G76" s="9" t="str">
        <f t="shared" si="6"/>
        <v>United States</v>
      </c>
      <c r="H76" s="9" t="s">
        <v>41</v>
      </c>
      <c r="I76" s="9" t="s">
        <v>17</v>
      </c>
      <c r="J76" s="9"/>
      <c r="K76" s="9" t="s">
        <v>26</v>
      </c>
      <c r="L76" s="23"/>
      <c r="M76" s="23">
        <f t="shared" si="7"/>
        <v>2393.286139999997</v>
      </c>
      <c r="N76" s="31">
        <v>3</v>
      </c>
      <c r="O76" s="31">
        <v>0.4</v>
      </c>
      <c r="P76" s="23">
        <v>-263.99669999999998</v>
      </c>
      <c r="Q76" s="23">
        <f t="shared" si="8"/>
        <v>-263.99669999999998</v>
      </c>
      <c r="R76" s="9" t="s">
        <v>19</v>
      </c>
      <c r="S76" s="29" t="str">
        <f t="shared" si="9"/>
        <v>Medium</v>
      </c>
    </row>
    <row r="77" spans="1:19" x14ac:dyDescent="0.3">
      <c r="A77" s="10" t="s">
        <v>221</v>
      </c>
      <c r="B77" s="20">
        <v>41967</v>
      </c>
      <c r="C77" s="20">
        <v>41968</v>
      </c>
      <c r="D77" s="11" t="s">
        <v>222</v>
      </c>
      <c r="E77" s="11" t="str">
        <f t="shared" si="5"/>
        <v>Bobby Elias</v>
      </c>
      <c r="F77" s="11"/>
      <c r="G77" s="11" t="str">
        <f t="shared" si="6"/>
        <v>UNKNOWN</v>
      </c>
      <c r="H77" s="11" t="s">
        <v>71</v>
      </c>
      <c r="I77" s="11" t="s">
        <v>223</v>
      </c>
      <c r="J77" s="11"/>
      <c r="K77" s="11" t="s">
        <v>26</v>
      </c>
      <c r="L77" s="24">
        <v>1487.4</v>
      </c>
      <c r="M77" s="23">
        <f t="shared" si="7"/>
        <v>1487.4</v>
      </c>
      <c r="N77" s="32">
        <v>10</v>
      </c>
      <c r="O77" s="32">
        <v>0</v>
      </c>
      <c r="P77" s="24">
        <v>728.7</v>
      </c>
      <c r="Q77" s="23">
        <f t="shared" si="8"/>
        <v>728.7</v>
      </c>
      <c r="R77" s="11" t="s">
        <v>27</v>
      </c>
      <c r="S77" s="29" t="str">
        <f t="shared" si="9"/>
        <v>Critical</v>
      </c>
    </row>
    <row r="78" spans="1:19" x14ac:dyDescent="0.3">
      <c r="A78" s="8" t="s">
        <v>224</v>
      </c>
      <c r="B78" s="19">
        <v>41221</v>
      </c>
      <c r="C78" s="19">
        <v>41223</v>
      </c>
      <c r="D78" s="9" t="s">
        <v>225</v>
      </c>
      <c r="E78" s="9" t="str">
        <f t="shared" si="5"/>
        <v>Sam Zeldin</v>
      </c>
      <c r="F78" s="9" t="s">
        <v>66</v>
      </c>
      <c r="G78" s="9" t="str">
        <f t="shared" si="6"/>
        <v>China</v>
      </c>
      <c r="H78" s="9" t="s">
        <v>90</v>
      </c>
      <c r="I78" s="9" t="s">
        <v>17</v>
      </c>
      <c r="J78" s="9"/>
      <c r="K78" s="9" t="s">
        <v>46</v>
      </c>
      <c r="L78" s="23">
        <v>3200.04</v>
      </c>
      <c r="M78" s="23">
        <f t="shared" si="7"/>
        <v>3200.04</v>
      </c>
      <c r="N78" s="31">
        <v>9</v>
      </c>
      <c r="O78" s="31" t="s">
        <v>226</v>
      </c>
      <c r="P78" s="23">
        <v>1183.95</v>
      </c>
      <c r="Q78" s="23">
        <f t="shared" si="8"/>
        <v>1183.95</v>
      </c>
      <c r="R78" s="9" t="s">
        <v>227</v>
      </c>
      <c r="S78" s="29" t="str">
        <f t="shared" si="9"/>
        <v>Medium#</v>
      </c>
    </row>
    <row r="79" spans="1:19" x14ac:dyDescent="0.3">
      <c r="A79" s="10" t="s">
        <v>228</v>
      </c>
      <c r="B79" s="20">
        <v>41209</v>
      </c>
      <c r="C79" s="20">
        <v>41209</v>
      </c>
      <c r="D79" s="11" t="s">
        <v>229</v>
      </c>
      <c r="E79" s="11" t="str">
        <f t="shared" si="5"/>
        <v>Raymond Messe</v>
      </c>
      <c r="F79" s="11" t="s">
        <v>114</v>
      </c>
      <c r="G79" s="11" t="str">
        <f t="shared" si="6"/>
        <v>India</v>
      </c>
      <c r="H79" s="11" t="s">
        <v>115</v>
      </c>
      <c r="I79" s="11" t="s">
        <v>280</v>
      </c>
      <c r="J79" s="11"/>
      <c r="K79" s="11" t="s">
        <v>33</v>
      </c>
      <c r="L79" s="24">
        <v>2300.99999999999</v>
      </c>
      <c r="M79" s="23">
        <f t="shared" si="7"/>
        <v>2300.99999999999</v>
      </c>
      <c r="N79" s="32">
        <v>5</v>
      </c>
      <c r="O79" s="32">
        <v>0</v>
      </c>
      <c r="P79" s="24">
        <v>91.95</v>
      </c>
      <c r="Q79" s="23">
        <f t="shared" si="8"/>
        <v>91.95</v>
      </c>
      <c r="R79" s="11" t="s">
        <v>27</v>
      </c>
      <c r="S79" s="29" t="str">
        <f t="shared" si="9"/>
        <v>Critical</v>
      </c>
    </row>
    <row r="80" spans="1:19" x14ac:dyDescent="0.3">
      <c r="A80" s="8" t="s">
        <v>277</v>
      </c>
      <c r="B80" s="19">
        <v>42327</v>
      </c>
      <c r="C80" s="19">
        <v>42331</v>
      </c>
      <c r="D80" s="9" t="s">
        <v>230</v>
      </c>
      <c r="E80" s="9" t="str">
        <f t="shared" si="5"/>
        <v>Harry Greene</v>
      </c>
      <c r="F80" s="9" t="s">
        <v>70</v>
      </c>
      <c r="G80" s="9" t="str">
        <f t="shared" si="6"/>
        <v>France</v>
      </c>
      <c r="H80" s="9" t="s">
        <v>71</v>
      </c>
      <c r="I80" s="9" t="s">
        <v>32</v>
      </c>
      <c r="J80" s="9"/>
      <c r="K80" s="9" t="s">
        <v>33</v>
      </c>
      <c r="L80" s="23">
        <v>5729.3459999999905</v>
      </c>
      <c r="M80" s="23">
        <f t="shared" si="7"/>
        <v>5729.3459999999905</v>
      </c>
      <c r="N80" s="31">
        <v>14</v>
      </c>
      <c r="O80" s="31">
        <v>0.1</v>
      </c>
      <c r="P80" s="23">
        <v>63.546000000000099</v>
      </c>
      <c r="Q80" s="23">
        <f t="shared" si="8"/>
        <v>63.546000000000099</v>
      </c>
      <c r="R80" s="9" t="s">
        <v>37</v>
      </c>
      <c r="S80" s="29" t="str">
        <f t="shared" si="9"/>
        <v>High</v>
      </c>
    </row>
    <row r="81" spans="1:19" x14ac:dyDescent="0.3">
      <c r="A81" s="10" t="s">
        <v>231</v>
      </c>
      <c r="B81" s="20">
        <v>42305</v>
      </c>
      <c r="C81" s="20">
        <v>42307</v>
      </c>
      <c r="D81" s="11" t="s">
        <v>126</v>
      </c>
      <c r="E81" s="11" t="str">
        <f t="shared" si="5"/>
        <v>Dave Poirier</v>
      </c>
      <c r="F81" s="11" t="s">
        <v>232</v>
      </c>
      <c r="G81" s="11" t="str">
        <f t="shared" si="6"/>
        <v>Morocco</v>
      </c>
      <c r="H81" s="11" t="s">
        <v>233</v>
      </c>
      <c r="I81" s="11" t="s">
        <v>17</v>
      </c>
      <c r="J81" s="11"/>
      <c r="K81" s="11" t="s">
        <v>23</v>
      </c>
      <c r="L81" s="24">
        <v>5301.24</v>
      </c>
      <c r="M81" s="23">
        <f t="shared" si="7"/>
        <v>5301.24</v>
      </c>
      <c r="N81" s="32">
        <v>14</v>
      </c>
      <c r="O81" s="32">
        <v>0</v>
      </c>
      <c r="P81" s="24">
        <v>2597.2800000000002</v>
      </c>
      <c r="Q81" s="23">
        <f t="shared" si="8"/>
        <v>2597.2800000000002</v>
      </c>
      <c r="R81" s="11" t="s">
        <v>19</v>
      </c>
      <c r="S81" s="29" t="str">
        <f t="shared" si="9"/>
        <v>Medium</v>
      </c>
    </row>
    <row r="82" spans="1:19" x14ac:dyDescent="0.3">
      <c r="A82" s="8" t="s">
        <v>277</v>
      </c>
      <c r="B82" s="19">
        <v>41908</v>
      </c>
      <c r="C82" s="19">
        <v>41910</v>
      </c>
      <c r="D82" s="9" t="s">
        <v>194</v>
      </c>
      <c r="E82" s="9" t="str">
        <f t="shared" si="5"/>
        <v>Aaron Smayling</v>
      </c>
      <c r="F82" s="9" t="s">
        <v>40</v>
      </c>
      <c r="G82" s="9" t="str">
        <f t="shared" si="6"/>
        <v>United States</v>
      </c>
      <c r="H82" s="9" t="s">
        <v>43</v>
      </c>
      <c r="I82" s="9" t="s">
        <v>32</v>
      </c>
      <c r="J82" s="9"/>
      <c r="K82" s="9" t="s">
        <v>23</v>
      </c>
      <c r="L82" s="23">
        <v>477.666</v>
      </c>
      <c r="M82" s="23">
        <f t="shared" si="7"/>
        <v>477.666</v>
      </c>
      <c r="N82" s="31">
        <v>2</v>
      </c>
      <c r="O82" s="31">
        <v>0.15</v>
      </c>
      <c r="P82" s="23">
        <v>84.293999999999897</v>
      </c>
      <c r="Q82" s="23">
        <f t="shared" si="8"/>
        <v>84.293999999999897</v>
      </c>
      <c r="R82" s="9" t="s">
        <v>27</v>
      </c>
      <c r="S82" s="29" t="str">
        <f t="shared" si="9"/>
        <v>Critical</v>
      </c>
    </row>
    <row r="83" spans="1:19" x14ac:dyDescent="0.3">
      <c r="A83" s="10" t="s">
        <v>234</v>
      </c>
      <c r="B83" s="20">
        <v>42252</v>
      </c>
      <c r="C83" s="20">
        <v>42253</v>
      </c>
      <c r="D83" s="11" t="s">
        <v>235</v>
      </c>
      <c r="E83" s="11" t="str">
        <f t="shared" si="5"/>
        <v xml:space="preserve"> Aaron Smayling </v>
      </c>
      <c r="F83" s="11" t="s">
        <v>40</v>
      </c>
      <c r="G83" s="11" t="str">
        <f t="shared" si="6"/>
        <v>United States</v>
      </c>
      <c r="H83" s="11" t="s">
        <v>43</v>
      </c>
      <c r="I83" s="11" t="s">
        <v>45</v>
      </c>
      <c r="J83" s="11"/>
      <c r="K83" s="11" t="s">
        <v>33</v>
      </c>
      <c r="L83" s="24">
        <v>88.073999999999998</v>
      </c>
      <c r="M83" s="23">
        <f t="shared" si="7"/>
        <v>88.073999999999998</v>
      </c>
      <c r="N83" s="32">
        <v>7</v>
      </c>
      <c r="O83" s="32">
        <v>0.7</v>
      </c>
      <c r="P83" s="24">
        <v>-58.715999999999902</v>
      </c>
      <c r="Q83" s="23">
        <f t="shared" si="8"/>
        <v>-58.715999999999902</v>
      </c>
      <c r="R83" s="11" t="s">
        <v>37</v>
      </c>
      <c r="S83" s="29" t="str">
        <f t="shared" si="9"/>
        <v>High</v>
      </c>
    </row>
    <row r="84" spans="1:19" x14ac:dyDescent="0.3">
      <c r="A84" s="8" t="s">
        <v>277</v>
      </c>
      <c r="B84" s="19">
        <v>41668</v>
      </c>
      <c r="C84" s="19">
        <v>41675</v>
      </c>
      <c r="D84" s="9" t="s">
        <v>140</v>
      </c>
      <c r="E84" s="9" t="str">
        <f t="shared" si="5"/>
        <v>Joy Bell-</v>
      </c>
      <c r="F84" s="9" t="s">
        <v>22</v>
      </c>
      <c r="G84" s="9" t="str">
        <f t="shared" si="6"/>
        <v>Germany</v>
      </c>
      <c r="H84" s="9" t="s">
        <v>71</v>
      </c>
      <c r="I84" s="9" t="s">
        <v>17</v>
      </c>
      <c r="J84" s="9"/>
      <c r="K84" s="9" t="s">
        <v>46</v>
      </c>
      <c r="L84" s="23">
        <v>3219.9</v>
      </c>
      <c r="M84" s="23">
        <f t="shared" si="7"/>
        <v>3219.9</v>
      </c>
      <c r="N84" s="31">
        <v>5</v>
      </c>
      <c r="O84" s="31" t="s">
        <v>282</v>
      </c>
      <c r="P84" s="23">
        <v>965.85</v>
      </c>
      <c r="Q84" s="23">
        <f t="shared" si="8"/>
        <v>965.85</v>
      </c>
      <c r="R84" s="9" t="s">
        <v>74</v>
      </c>
      <c r="S84" s="29" t="str">
        <f t="shared" si="9"/>
        <v>Low</v>
      </c>
    </row>
    <row r="85" spans="1:19" x14ac:dyDescent="0.3">
      <c r="A85" s="10" t="s">
        <v>236</v>
      </c>
      <c r="B85" s="20">
        <v>41535</v>
      </c>
      <c r="C85" s="20">
        <v>41538</v>
      </c>
      <c r="D85" s="11" t="s">
        <v>237</v>
      </c>
      <c r="E85" s="11" t="str">
        <f t="shared" si="5"/>
        <v>Anne McFarland</v>
      </c>
      <c r="F85" s="11" t="s">
        <v>141</v>
      </c>
      <c r="G85" s="11" t="str">
        <f t="shared" si="6"/>
        <v>Indonesia</v>
      </c>
      <c r="H85" s="11" t="s">
        <v>142</v>
      </c>
      <c r="I85" s="11" t="s">
        <v>45</v>
      </c>
      <c r="J85" s="11"/>
      <c r="K85" s="11" t="s">
        <v>23</v>
      </c>
      <c r="L85" s="24">
        <v>2487.8087999999998</v>
      </c>
      <c r="M85" s="23">
        <f t="shared" si="7"/>
        <v>2487.8087999999998</v>
      </c>
      <c r="N85" s="32">
        <v>0</v>
      </c>
      <c r="O85" s="32">
        <v>0.17</v>
      </c>
      <c r="P85" s="24">
        <v>-269.7912</v>
      </c>
      <c r="Q85" s="23">
        <f t="shared" si="8"/>
        <v>-269.7912</v>
      </c>
      <c r="R85" s="11" t="s">
        <v>27</v>
      </c>
      <c r="S85" s="29" t="str">
        <f t="shared" si="9"/>
        <v>Critical</v>
      </c>
    </row>
    <row r="86" spans="1:19" x14ac:dyDescent="0.3">
      <c r="A86" s="8" t="s">
        <v>238</v>
      </c>
      <c r="B86" s="19">
        <v>41966</v>
      </c>
      <c r="C86" s="19">
        <v>41966</v>
      </c>
      <c r="D86" s="9" t="s">
        <v>239</v>
      </c>
      <c r="E86" s="9" t="str">
        <f t="shared" si="5"/>
        <v>Alejandro Ballentine</v>
      </c>
      <c r="F86" s="9" t="s">
        <v>232</v>
      </c>
      <c r="G86" s="9" t="str">
        <f t="shared" si="6"/>
        <v>Morocco</v>
      </c>
      <c r="H86" s="9" t="s">
        <v>233</v>
      </c>
      <c r="I86" s="9" t="s">
        <v>45</v>
      </c>
      <c r="J86" s="9"/>
      <c r="K86" s="9" t="s">
        <v>26</v>
      </c>
      <c r="L86" s="23">
        <v>2266.44</v>
      </c>
      <c r="M86" s="23">
        <f t="shared" si="7"/>
        <v>2266.44</v>
      </c>
      <c r="N86" s="31">
        <v>4</v>
      </c>
      <c r="O86" s="31">
        <v>0</v>
      </c>
      <c r="P86" s="23">
        <v>113.28</v>
      </c>
      <c r="Q86" s="23">
        <f t="shared" si="8"/>
        <v>113.28</v>
      </c>
      <c r="R86" s="9" t="s">
        <v>19</v>
      </c>
      <c r="S86" s="29" t="str">
        <f t="shared" si="9"/>
        <v>Medium</v>
      </c>
    </row>
    <row r="87" spans="1:19" x14ac:dyDescent="0.3">
      <c r="A87" s="10" t="s">
        <v>277</v>
      </c>
      <c r="B87" s="20">
        <v>41438</v>
      </c>
      <c r="C87" s="20">
        <v>41438</v>
      </c>
      <c r="D87" s="11" t="s">
        <v>240</v>
      </c>
      <c r="E87" s="11" t="str">
        <f t="shared" si="5"/>
        <v>Rachel Payne</v>
      </c>
      <c r="F87" s="11" t="s">
        <v>15</v>
      </c>
      <c r="G87" s="11" t="str">
        <f t="shared" si="6"/>
        <v>Australia</v>
      </c>
      <c r="H87" s="11" t="s">
        <v>16</v>
      </c>
      <c r="I87" s="11" t="s">
        <v>17</v>
      </c>
      <c r="J87" s="11"/>
      <c r="K87" s="11" t="s">
        <v>73</v>
      </c>
      <c r="L87" s="24">
        <v>3068.3609999999999</v>
      </c>
      <c r="M87" s="23">
        <f t="shared" si="7"/>
        <v>3068.3609999999999</v>
      </c>
      <c r="N87" s="32">
        <v>0</v>
      </c>
      <c r="O87" s="32">
        <v>0.1</v>
      </c>
      <c r="P87" s="24">
        <v>1124.9009999999901</v>
      </c>
      <c r="Q87" s="23">
        <f t="shared" si="8"/>
        <v>1124.9009999999901</v>
      </c>
      <c r="R87" s="11" t="s">
        <v>37</v>
      </c>
      <c r="S87" s="29" t="str">
        <f t="shared" si="9"/>
        <v>High</v>
      </c>
    </row>
    <row r="88" spans="1:19" x14ac:dyDescent="0.3">
      <c r="A88" s="8" t="s">
        <v>241</v>
      </c>
      <c r="B88" s="19">
        <v>41940</v>
      </c>
      <c r="C88" s="19">
        <v>41943</v>
      </c>
      <c r="D88" s="9" t="s">
        <v>242</v>
      </c>
      <c r="E88" s="9" t="str">
        <f t="shared" si="5"/>
        <v>Berenike Kampe</v>
      </c>
      <c r="F88" s="9" t="s">
        <v>184</v>
      </c>
      <c r="G88" s="9" t="str">
        <f t="shared" si="6"/>
        <v>Bangladesh</v>
      </c>
      <c r="H88" s="9" t="s">
        <v>115</v>
      </c>
      <c r="I88" s="9" t="s">
        <v>32</v>
      </c>
      <c r="J88" s="9"/>
      <c r="K88" s="9" t="s">
        <v>73</v>
      </c>
      <c r="L88" s="23">
        <v>3728.4299999999898</v>
      </c>
      <c r="M88" s="23">
        <f t="shared" si="7"/>
        <v>3728.4299999999898</v>
      </c>
      <c r="N88" s="31">
        <v>9</v>
      </c>
      <c r="O88" s="31">
        <v>0</v>
      </c>
      <c r="P88" s="23">
        <v>1192.8599999999999</v>
      </c>
      <c r="Q88" s="23">
        <f t="shared" si="8"/>
        <v>1192.8599999999999</v>
      </c>
      <c r="R88" s="9" t="s">
        <v>19</v>
      </c>
      <c r="S88" s="29" t="str">
        <f t="shared" si="9"/>
        <v>Medium</v>
      </c>
    </row>
    <row r="89" spans="1:19" x14ac:dyDescent="0.3">
      <c r="A89" s="10" t="s">
        <v>277</v>
      </c>
      <c r="B89" s="20">
        <v>41985</v>
      </c>
      <c r="C89" s="20">
        <v>41987</v>
      </c>
      <c r="D89" s="11"/>
      <c r="E89" s="11" t="str">
        <f t="shared" si="5"/>
        <v>UNKNOWN</v>
      </c>
      <c r="F89" s="11" t="s">
        <v>66</v>
      </c>
      <c r="G89" s="11" t="str">
        <f t="shared" si="6"/>
        <v>China</v>
      </c>
      <c r="H89" s="11" t="s">
        <v>90</v>
      </c>
      <c r="I89" s="11" t="s">
        <v>17</v>
      </c>
      <c r="J89" s="11"/>
      <c r="K89" s="11" t="s">
        <v>33</v>
      </c>
      <c r="L89" s="24">
        <v>1581.48</v>
      </c>
      <c r="M89" s="23">
        <f t="shared" si="7"/>
        <v>1581.48</v>
      </c>
      <c r="N89" s="32">
        <v>0</v>
      </c>
      <c r="O89" s="32">
        <v>0</v>
      </c>
      <c r="P89" s="24">
        <v>0</v>
      </c>
      <c r="Q89" s="23">
        <f t="shared" si="8"/>
        <v>0</v>
      </c>
      <c r="R89" s="11" t="s">
        <v>37</v>
      </c>
      <c r="S89" s="29" t="str">
        <f t="shared" si="9"/>
        <v>High</v>
      </c>
    </row>
    <row r="90" spans="1:19" x14ac:dyDescent="0.3">
      <c r="A90" s="8" t="s">
        <v>243</v>
      </c>
      <c r="B90" s="19">
        <v>41419</v>
      </c>
      <c r="C90" s="19">
        <v>41422</v>
      </c>
      <c r="D90" s="9" t="s">
        <v>178</v>
      </c>
      <c r="E90" s="9" t="str">
        <f t="shared" si="5"/>
        <v>Guy Phonely</v>
      </c>
      <c r="F90" s="9" t="s">
        <v>114</v>
      </c>
      <c r="G90" s="9" t="str">
        <f t="shared" si="6"/>
        <v>India</v>
      </c>
      <c r="H90" s="9" t="s">
        <v>115</v>
      </c>
      <c r="I90" s="9" t="s">
        <v>17</v>
      </c>
      <c r="J90" s="9"/>
      <c r="K90" s="9" t="s">
        <v>151</v>
      </c>
      <c r="L90" s="23">
        <v>1916.73</v>
      </c>
      <c r="M90" s="23">
        <f t="shared" si="7"/>
        <v>1916.73</v>
      </c>
      <c r="N90" s="31">
        <v>3</v>
      </c>
      <c r="O90" s="31">
        <v>0</v>
      </c>
      <c r="P90" s="23">
        <v>498.32999999999902</v>
      </c>
      <c r="Q90" s="23">
        <f t="shared" si="8"/>
        <v>498.32999999999902</v>
      </c>
      <c r="R90" s="9" t="s">
        <v>27</v>
      </c>
      <c r="S90" s="29" t="str">
        <f t="shared" si="9"/>
        <v>Critical</v>
      </c>
    </row>
    <row r="91" spans="1:19" x14ac:dyDescent="0.3">
      <c r="A91" s="10" t="s">
        <v>244</v>
      </c>
      <c r="B91" s="20">
        <v>42281</v>
      </c>
      <c r="C91" s="20">
        <v>42286</v>
      </c>
      <c r="D91" s="11" t="s">
        <v>194</v>
      </c>
      <c r="E91" s="11" t="str">
        <f t="shared" si="5"/>
        <v>Aaron Smayling</v>
      </c>
      <c r="F91" s="11" t="s">
        <v>40</v>
      </c>
      <c r="G91" s="11" t="str">
        <f t="shared" si="6"/>
        <v>United States</v>
      </c>
      <c r="H91" s="11" t="s">
        <v>245</v>
      </c>
      <c r="I91" s="11" t="s">
        <v>32</v>
      </c>
      <c r="J91" s="11"/>
      <c r="K91" s="11" t="s">
        <v>33</v>
      </c>
      <c r="L91" s="24">
        <v>171.28800000000001</v>
      </c>
      <c r="M91" s="23">
        <f t="shared" si="7"/>
        <v>171.28800000000001</v>
      </c>
      <c r="N91" s="32">
        <v>3</v>
      </c>
      <c r="O91" s="32">
        <v>1.4339994914666701</v>
      </c>
      <c r="P91" s="24">
        <v>-6.4233000000000198</v>
      </c>
      <c r="Q91" s="23">
        <f t="shared" si="8"/>
        <v>-6.4233000000000198</v>
      </c>
      <c r="R91" s="11" t="s">
        <v>19</v>
      </c>
      <c r="S91" s="29" t="str">
        <f t="shared" si="9"/>
        <v>Medium</v>
      </c>
    </row>
    <row r="92" spans="1:19" x14ac:dyDescent="0.3">
      <c r="A92" s="8" t="s">
        <v>246</v>
      </c>
      <c r="B92" s="19">
        <v>41975</v>
      </c>
      <c r="C92" s="9" t="s">
        <v>279</v>
      </c>
      <c r="D92" s="9" t="s">
        <v>247</v>
      </c>
      <c r="E92" s="9" t="str">
        <f t="shared" si="5"/>
        <v>Nick Zandusky</v>
      </c>
      <c r="F92" s="9" t="s">
        <v>70</v>
      </c>
      <c r="G92" s="9" t="str">
        <f t="shared" si="6"/>
        <v>France</v>
      </c>
      <c r="H92" s="9" t="s">
        <v>71</v>
      </c>
      <c r="I92" s="9" t="s">
        <v>45</v>
      </c>
      <c r="J92" s="9"/>
      <c r="K92" s="9" t="s">
        <v>26</v>
      </c>
      <c r="L92" s="23">
        <v>2432.16</v>
      </c>
      <c r="M92" s="23">
        <f t="shared" si="7"/>
        <v>2432.16</v>
      </c>
      <c r="N92" s="31">
        <v>5</v>
      </c>
      <c r="O92" s="31">
        <v>0.1</v>
      </c>
      <c r="P92" s="23">
        <v>513.36</v>
      </c>
      <c r="Q92" s="23">
        <f t="shared" si="8"/>
        <v>513.36</v>
      </c>
      <c r="R92" s="9" t="s">
        <v>27</v>
      </c>
      <c r="S92" s="29" t="str">
        <f t="shared" si="9"/>
        <v>Critical</v>
      </c>
    </row>
    <row r="93" spans="1:19" x14ac:dyDescent="0.3">
      <c r="A93" s="10" t="s">
        <v>193</v>
      </c>
      <c r="B93" s="11" t="s">
        <v>279</v>
      </c>
      <c r="C93" s="20">
        <v>42009</v>
      </c>
      <c r="D93" s="11"/>
      <c r="E93" s="11" t="str">
        <f t="shared" si="5"/>
        <v>UNKNOWN</v>
      </c>
      <c r="F93" s="11" t="s">
        <v>40</v>
      </c>
      <c r="G93" s="11" t="str">
        <f t="shared" si="6"/>
        <v>United States</v>
      </c>
      <c r="H93" s="11" t="s">
        <v>153</v>
      </c>
      <c r="I93" s="11" t="s">
        <v>45</v>
      </c>
      <c r="J93" s="11"/>
      <c r="K93" s="11" t="s">
        <v>44</v>
      </c>
      <c r="L93" s="24">
        <v>28.853999999999999</v>
      </c>
      <c r="M93" s="23">
        <f t="shared" si="7"/>
        <v>28.853999999999999</v>
      </c>
      <c r="N93" s="32">
        <v>6</v>
      </c>
      <c r="O93" s="32">
        <v>0.7</v>
      </c>
      <c r="P93" s="24">
        <v>-21.159599999999902</v>
      </c>
      <c r="Q93" s="23">
        <f t="shared" si="8"/>
        <v>-21.159599999999902</v>
      </c>
      <c r="R93" s="11" t="s">
        <v>37</v>
      </c>
      <c r="S93" s="29" t="str">
        <f t="shared" si="9"/>
        <v>High</v>
      </c>
    </row>
    <row r="94" spans="1:19" x14ac:dyDescent="0.3">
      <c r="A94" s="8" t="s">
        <v>248</v>
      </c>
      <c r="B94" s="19">
        <v>41667</v>
      </c>
      <c r="C94" s="19">
        <v>41669</v>
      </c>
      <c r="D94" s="9" t="s">
        <v>249</v>
      </c>
      <c r="E94" s="9" t="str">
        <f t="shared" si="5"/>
        <v>Steve Chapman</v>
      </c>
      <c r="F94" s="9" t="s">
        <v>250</v>
      </c>
      <c r="G94" s="9" t="str">
        <f t="shared" si="6"/>
        <v>Philippines</v>
      </c>
      <c r="H94" s="9" t="s">
        <v>142</v>
      </c>
      <c r="I94" s="9" t="s">
        <v>32</v>
      </c>
      <c r="J94" s="9"/>
      <c r="K94" s="9" t="s">
        <v>73</v>
      </c>
      <c r="L94" s="23" t="s">
        <v>163</v>
      </c>
      <c r="M94" s="23" t="str">
        <f t="shared" si="7"/>
        <v>missing</v>
      </c>
      <c r="N94" s="31">
        <v>7</v>
      </c>
      <c r="O94" s="31">
        <v>0.25</v>
      </c>
      <c r="P94" s="23" t="s">
        <v>251</v>
      </c>
      <c r="Q94" s="23" t="str">
        <f t="shared" si="8"/>
        <v>197.19000000000005unknown</v>
      </c>
      <c r="R94" s="9" t="s">
        <v>37</v>
      </c>
      <c r="S94" s="29" t="str">
        <f t="shared" si="9"/>
        <v>High</v>
      </c>
    </row>
    <row r="95" spans="1:19" x14ac:dyDescent="0.3">
      <c r="A95" s="10" t="s">
        <v>252</v>
      </c>
      <c r="B95" s="20">
        <v>41401</v>
      </c>
      <c r="C95" s="20">
        <v>41401</v>
      </c>
      <c r="D95" s="11" t="s">
        <v>253</v>
      </c>
      <c r="E95" s="11" t="str">
        <f t="shared" si="5"/>
        <v>Noah Childs</v>
      </c>
      <c r="F95" s="11"/>
      <c r="G95" s="11" t="str">
        <f t="shared" si="6"/>
        <v>UNKNOWN</v>
      </c>
      <c r="H95" s="11" t="s">
        <v>16</v>
      </c>
      <c r="I95" s="11" t="s">
        <v>254</v>
      </c>
      <c r="J95" s="11"/>
      <c r="K95" s="11" t="s">
        <v>26</v>
      </c>
      <c r="L95" s="24">
        <v>1847.51999999999</v>
      </c>
      <c r="M95" s="23">
        <f t="shared" si="7"/>
        <v>1847.51999999999</v>
      </c>
      <c r="N95" s="32">
        <v>2</v>
      </c>
      <c r="O95" s="32">
        <v>0</v>
      </c>
      <c r="P95" s="24">
        <v>738.96</v>
      </c>
      <c r="Q95" s="23">
        <f t="shared" si="8"/>
        <v>738.96</v>
      </c>
      <c r="R95" s="11" t="s">
        <v>37</v>
      </c>
      <c r="S95" s="29" t="str">
        <f t="shared" si="9"/>
        <v>High</v>
      </c>
    </row>
    <row r="96" spans="1:19" x14ac:dyDescent="0.3">
      <c r="A96" s="8" t="s">
        <v>277</v>
      </c>
      <c r="B96" s="19">
        <v>41970</v>
      </c>
      <c r="C96" s="19">
        <v>41972</v>
      </c>
      <c r="D96" s="9" t="s">
        <v>255</v>
      </c>
      <c r="E96" s="9" t="str">
        <f t="shared" si="5"/>
        <v>Natalie Fritzler</v>
      </c>
      <c r="F96" s="9" t="s">
        <v>256</v>
      </c>
      <c r="G96" s="9" t="str">
        <f t="shared" si="6"/>
        <v>Austria</v>
      </c>
      <c r="H96" s="9" t="s">
        <v>71</v>
      </c>
      <c r="I96" s="9" t="s">
        <v>32</v>
      </c>
      <c r="J96" s="9"/>
      <c r="K96" s="9" t="s">
        <v>23</v>
      </c>
      <c r="L96" s="23">
        <v>2899.8899999999899</v>
      </c>
      <c r="M96" s="23">
        <f t="shared" si="7"/>
        <v>2899.8899999999899</v>
      </c>
      <c r="N96" s="31">
        <v>7</v>
      </c>
      <c r="O96" s="31">
        <v>0</v>
      </c>
      <c r="P96" s="23">
        <v>927.78</v>
      </c>
      <c r="Q96" s="23">
        <f t="shared" si="8"/>
        <v>927.78</v>
      </c>
      <c r="R96" s="9" t="s">
        <v>37</v>
      </c>
      <c r="S96" s="29" t="str">
        <f t="shared" si="9"/>
        <v>High</v>
      </c>
    </row>
    <row r="97" spans="1:19" x14ac:dyDescent="0.3">
      <c r="A97" s="10" t="s">
        <v>257</v>
      </c>
      <c r="B97" s="20">
        <v>41606</v>
      </c>
      <c r="C97" s="20">
        <v>41610</v>
      </c>
      <c r="D97" s="11" t="s">
        <v>247</v>
      </c>
      <c r="E97" s="11" t="str">
        <f t="shared" si="5"/>
        <v>Nick Zandusky</v>
      </c>
      <c r="F97" s="11" t="s">
        <v>15</v>
      </c>
      <c r="G97" s="11" t="str">
        <f t="shared" si="6"/>
        <v>Australia</v>
      </c>
      <c r="H97" s="11" t="s">
        <v>16</v>
      </c>
      <c r="I97" s="11" t="s">
        <v>32</v>
      </c>
      <c r="J97" s="11"/>
      <c r="K97" s="11" t="s">
        <v>44</v>
      </c>
      <c r="L97" s="24">
        <v>2891.6999999999898</v>
      </c>
      <c r="M97" s="23">
        <f t="shared" si="7"/>
        <v>2891.6999999999898</v>
      </c>
      <c r="N97" s="32">
        <v>7</v>
      </c>
      <c r="O97" s="32">
        <v>0.1</v>
      </c>
      <c r="P97" s="24">
        <v>96.39</v>
      </c>
      <c r="Q97" s="23">
        <f t="shared" si="8"/>
        <v>96.39</v>
      </c>
      <c r="R97" s="11" t="s">
        <v>19</v>
      </c>
      <c r="S97" s="29" t="str">
        <f t="shared" si="9"/>
        <v>Medium</v>
      </c>
    </row>
    <row r="98" spans="1:19" x14ac:dyDescent="0.3">
      <c r="A98" s="8" t="s">
        <v>258</v>
      </c>
      <c r="B98" s="19">
        <v>41546</v>
      </c>
      <c r="C98" s="19">
        <v>41546</v>
      </c>
      <c r="D98" s="9" t="s">
        <v>259</v>
      </c>
      <c r="E98" s="9" t="str">
        <f t="shared" si="5"/>
        <v>Paul MacIntyre</v>
      </c>
      <c r="F98" s="9" t="s">
        <v>70</v>
      </c>
      <c r="G98" s="9" t="str">
        <f t="shared" si="6"/>
        <v>France</v>
      </c>
      <c r="H98" s="9" t="s">
        <v>71</v>
      </c>
      <c r="I98" s="9" t="s">
        <v>17</v>
      </c>
      <c r="J98" s="9"/>
      <c r="K98" s="9" t="s">
        <v>151</v>
      </c>
      <c r="L98" s="23">
        <v>2016.846</v>
      </c>
      <c r="M98" s="23">
        <f t="shared" si="7"/>
        <v>2016.846</v>
      </c>
      <c r="N98" s="31">
        <v>9</v>
      </c>
      <c r="O98" s="31">
        <v>0.15</v>
      </c>
      <c r="P98" s="23">
        <v>-5.4000000000030399E-2</v>
      </c>
      <c r="Q98" s="23">
        <f t="shared" si="8"/>
        <v>-5.4000000000030399E-2</v>
      </c>
      <c r="R98" s="9" t="s">
        <v>27</v>
      </c>
      <c r="S98" s="29" t="str">
        <f t="shared" si="9"/>
        <v>Critical</v>
      </c>
    </row>
    <row r="99" spans="1:19" x14ac:dyDescent="0.3">
      <c r="A99" s="10" t="s">
        <v>260</v>
      </c>
      <c r="B99" s="21">
        <v>41707</v>
      </c>
      <c r="C99" s="20">
        <v>41887</v>
      </c>
      <c r="D99" s="11" t="s">
        <v>261</v>
      </c>
      <c r="E99" s="11" t="str">
        <f t="shared" si="5"/>
        <v>Maria Zettner</v>
      </c>
      <c r="F99" s="11" t="s">
        <v>70</v>
      </c>
      <c r="G99" s="11" t="str">
        <f t="shared" si="6"/>
        <v>France</v>
      </c>
      <c r="H99" s="11" t="s">
        <v>71</v>
      </c>
      <c r="I99" s="11" t="s">
        <v>45</v>
      </c>
      <c r="J99" s="11"/>
      <c r="K99" s="11" t="s">
        <v>23</v>
      </c>
      <c r="L99" s="24">
        <v>3155.5439999999999</v>
      </c>
      <c r="M99" s="23">
        <f t="shared" si="7"/>
        <v>3155.5439999999999</v>
      </c>
      <c r="N99" s="32">
        <v>7</v>
      </c>
      <c r="O99" s="32">
        <v>0.1</v>
      </c>
      <c r="P99" s="24">
        <v>34.944000000000003</v>
      </c>
      <c r="Q99" s="23">
        <f t="shared" si="8"/>
        <v>34.944000000000003</v>
      </c>
      <c r="R99" s="11" t="s">
        <v>37</v>
      </c>
      <c r="S99" s="29" t="str">
        <f t="shared" si="9"/>
        <v>High</v>
      </c>
    </row>
    <row r="100" spans="1:19" x14ac:dyDescent="0.3">
      <c r="A100" s="12" t="s">
        <v>262</v>
      </c>
      <c r="B100" s="22">
        <v>41846</v>
      </c>
      <c r="C100" s="22">
        <v>41852</v>
      </c>
      <c r="D100" s="13" t="s">
        <v>263</v>
      </c>
      <c r="E100" s="13" t="str">
        <f t="shared" si="5"/>
        <v>Henry MacAllister</v>
      </c>
      <c r="F100" s="13"/>
      <c r="G100" s="13" t="str">
        <f t="shared" si="6"/>
        <v>UNKNOWN</v>
      </c>
      <c r="H100" s="13" t="s">
        <v>264</v>
      </c>
      <c r="I100" s="13" t="s">
        <v>17</v>
      </c>
      <c r="J100" s="13"/>
      <c r="K100" s="13" t="s">
        <v>127</v>
      </c>
      <c r="L100" s="25">
        <v>3856.1399999999899</v>
      </c>
      <c r="M100" s="26">
        <f t="shared" si="7"/>
        <v>3856.1399999999899</v>
      </c>
      <c r="N100" s="27">
        <v>6</v>
      </c>
      <c r="O100" s="27">
        <v>0</v>
      </c>
      <c r="P100" s="25"/>
      <c r="Q100" s="25"/>
      <c r="R100" s="13" t="s">
        <v>74</v>
      </c>
      <c r="S100" s="30" t="str">
        <f t="shared" si="9"/>
        <v>Low</v>
      </c>
    </row>
    <row r="103" spans="1:19" x14ac:dyDescent="0.3">
      <c r="H103" s="14"/>
      <c r="I103" s="1"/>
    </row>
  </sheetData>
  <dataValidations count="1">
    <dataValidation type="list" allowBlank="1" showInputMessage="1" showErrorMessage="1" promptTitle="Note" prompt="Select the category" sqref="J1:J100" xr:uid="{57993B4B-F4F1-4D86-A950-3A7C14A6EBC8}">
      <formula1>$U$2:$U$5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 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Prathiga</dc:creator>
  <cp:lastModifiedBy>D Prathiga</cp:lastModifiedBy>
  <dcterms:created xsi:type="dcterms:W3CDTF">2025-10-31T07:16:12Z</dcterms:created>
  <dcterms:modified xsi:type="dcterms:W3CDTF">2025-10-31T09:33:43Z</dcterms:modified>
</cp:coreProperties>
</file>