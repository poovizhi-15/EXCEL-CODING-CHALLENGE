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DAILY TASK\EXCEL\WEEK 1\DAY 5\"/>
    </mc:Choice>
  </mc:AlternateContent>
  <xr:revisionPtr revIDLastSave="0" documentId="13_ncr:1_{00138A69-21F6-4A30-9CE7-A76C9E72C28B}" xr6:coauthVersionLast="47" xr6:coauthVersionMax="47" xr10:uidLastSave="{00000000-0000-0000-0000-000000000000}"/>
  <bookViews>
    <workbookView xWindow="-108" yWindow="-108" windowWidth="23256" windowHeight="12456" activeTab="1" xr2:uid="{AD14C75B-00FA-45E4-9901-371621DAFDF7}"/>
  </bookViews>
  <sheets>
    <sheet name="Sheet1" sheetId="1" r:id="rId1"/>
    <sheet name="task 5" sheetId="2" r:id="rId2"/>
    <sheet name="task5.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" i="2"/>
</calcChain>
</file>

<file path=xl/sharedStrings.xml><?xml version="1.0" encoding="utf-8"?>
<sst xmlns="http://schemas.openxmlformats.org/spreadsheetml/2006/main" count="2220" uniqueCount="405">
  <si>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</si>
  <si>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</si>
  <si>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</si>
  <si>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</si>
  <si>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</si>
  <si>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</si>
  <si>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</si>
  <si>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</si>
  <si>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</si>
  <si>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</si>
  <si>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</si>
  <si>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</si>
  <si>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</si>
  <si>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</si>
  <si>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</si>
  <si>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</si>
  <si>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</si>
  <si>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</si>
  <si>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</si>
  <si>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</si>
  <si>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</si>
  <si>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</si>
  <si>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</si>
  <si>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</si>
  <si>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</si>
  <si>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</si>
  <si>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</si>
  <si>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</si>
  <si>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</si>
  <si>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</si>
  <si>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</si>
  <si>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</si>
  <si>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</si>
  <si>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</si>
  <si>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</si>
  <si>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</si>
  <si>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</si>
  <si>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</si>
  <si>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</si>
  <si>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</si>
  <si>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</si>
  <si>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</si>
  <si>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</si>
  <si>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</si>
  <si>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</si>
  <si>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</si>
  <si>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</si>
  <si>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</si>
  <si>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</si>
  <si>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</si>
  <si>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</si>
  <si>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</si>
  <si>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</si>
  <si>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</si>
  <si>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</si>
  <si>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</si>
  <si>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</si>
  <si>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Supplies</t>
  </si>
  <si>
    <t>MX-2013-VF2171518-41591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</si>
  <si>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</si>
  <si>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</si>
  <si>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</si>
  <si>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</si>
  <si>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</si>
  <si>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</si>
  <si>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</si>
  <si>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</si>
  <si>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</si>
  <si>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</si>
  <si>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</si>
  <si>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</si>
  <si>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</si>
  <si>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</si>
  <si>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Appliances</t>
  </si>
  <si>
    <t>Low</t>
  </si>
  <si>
    <t>ES-2015-PJ1883564-42255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</si>
  <si>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</si>
  <si>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</si>
  <si>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</si>
  <si>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</si>
  <si>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</si>
  <si>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</si>
  <si>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</si>
  <si>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</si>
  <si>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</si>
  <si>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</si>
  <si>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</si>
  <si>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</si>
  <si>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</si>
  <si>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</si>
  <si>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</si>
  <si>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</si>
  <si>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</si>
  <si>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</si>
  <si>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</si>
  <si>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</si>
  <si>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</si>
  <si>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</si>
  <si>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</si>
  <si>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</si>
  <si>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</si>
  <si>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</si>
  <si>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</si>
  <si>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</si>
  <si>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</si>
  <si>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</si>
  <si>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</si>
  <si>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</si>
  <si>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</si>
  <si>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</si>
  <si>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</si>
  <si>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</si>
  <si>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</si>
  <si>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</si>
  <si>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</si>
  <si>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</si>
  <si>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</si>
  <si>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</si>
  <si>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</si>
  <si>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</si>
  <si>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</si>
  <si>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</si>
  <si>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</si>
  <si>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</si>
  <si>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</si>
  <si>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</si>
  <si>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</si>
  <si>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</si>
  <si>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</si>
  <si>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</si>
  <si>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</si>
  <si>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</si>
  <si>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</si>
  <si>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</si>
  <si>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</si>
  <si>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</si>
  <si>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</si>
  <si>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</si>
  <si>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</si>
  <si>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</si>
  <si>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</si>
  <si>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</si>
  <si>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</si>
  <si>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</si>
  <si>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</si>
  <si>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</si>
  <si>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</si>
  <si>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</si>
  <si>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</si>
  <si>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</si>
  <si>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</si>
  <si>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Bookcases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</si>
  <si>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</si>
  <si>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</si>
  <si>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</si>
  <si>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</si>
  <si>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</si>
  <si>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</si>
  <si>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</si>
  <si>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</si>
  <si>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MX-2015-JH15820141-42356</t>
  </si>
  <si>
    <t>John Huston</t>
  </si>
  <si>
    <t>Uruguay</t>
  </si>
  <si>
    <t>missing</t>
  </si>
  <si>
    <t>US-2012-AH10030140-41206</t>
  </si>
  <si>
    <t>Office_Supplies</t>
  </si>
  <si>
    <t>IR-2015-TG1164060-42265</t>
  </si>
  <si>
    <t>Trudy Glocke</t>
  </si>
  <si>
    <t>Iran</t>
  </si>
  <si>
    <t>SOUTHERN ASIA</t>
  </si>
  <si>
    <t xml:space="preserve"> 2012-12-16 </t>
  </si>
  <si>
    <t>MZ-2014-DG330087-41991</t>
  </si>
  <si>
    <t>Deirdre Greer</t>
  </si>
  <si>
    <t>Mozambique</t>
  </si>
  <si>
    <t>IN-2013-SG2047058-41424</t>
  </si>
  <si>
    <t xml:space="preserve"> Sheri Gordon </t>
  </si>
  <si>
    <t>Eastern US#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</si>
  <si>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</si>
  <si>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</si>
  <si>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</si>
  <si>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</si>
  <si>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</si>
  <si>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</si>
  <si>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</si>
  <si>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</si>
  <si>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</si>
  <si>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</si>
  <si>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</si>
  <si>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</si>
  <si>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</si>
  <si>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</si>
  <si>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</si>
  <si>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</si>
  <si>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</si>
  <si>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</si>
  <si>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</si>
  <si>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</si>
  <si>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</si>
  <si>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</si>
  <si>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</si>
  <si>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</si>
  <si>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</si>
  <si>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</si>
  <si>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</si>
  <si>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</si>
  <si>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</si>
  <si>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</si>
  <si>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</si>
  <si>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</si>
  <si>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</si>
  <si>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</si>
  <si>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</si>
  <si>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121.94000000000001unknown</t>
  </si>
  <si>
    <t>CG-2014-BW106533-41727</t>
  </si>
  <si>
    <t>Barry Weirich</t>
  </si>
  <si>
    <t>IN-2015-LA1678059-42242</t>
  </si>
  <si>
    <t>Laura Armstrong</t>
  </si>
  <si>
    <t>ES-2013-AB10150139-41537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</si>
  <si>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</si>
  <si>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</si>
  <si>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</si>
  <si>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</si>
  <si>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</si>
  <si>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</si>
  <si>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</si>
  <si>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</si>
  <si>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</si>
  <si>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</si>
  <si>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</si>
  <si>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</si>
  <si>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</si>
  <si>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</si>
  <si>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</si>
  <si>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</si>
  <si>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</si>
  <si>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 xml:space="preserve"> Aaron Smayling </t>
  </si>
  <si>
    <t>ID-2013-AM1070559-41535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</si>
  <si>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</si>
  <si>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</si>
  <si>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</si>
  <si>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</si>
  <si>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</si>
  <si>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</si>
  <si>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</si>
  <si>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</si>
  <si>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</si>
  <si>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</si>
  <si>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</si>
  <si>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</si>
  <si>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</si>
  <si>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</si>
  <si>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</si>
  <si>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</si>
  <si>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</si>
  <si>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</si>
  <si>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</si>
  <si>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</si>
  <si>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</si>
  <si>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</si>
  <si>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</si>
  <si>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</si>
  <si>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</si>
  <si>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</si>
  <si>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</si>
  <si>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</si>
  <si>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 xml:space="preserve">TASK 5-Text Functions </t>
  </si>
  <si>
    <t>Left order id</t>
  </si>
  <si>
    <t>Right id</t>
  </si>
  <si>
    <t>Mid id</t>
  </si>
  <si>
    <t>1.Left function using order date=LEFT(A2,2)</t>
  </si>
  <si>
    <t>2.Right function using date=RIGHT(A2,5)</t>
  </si>
  <si>
    <t>3.Mid function =MID(A2,4,4)</t>
  </si>
  <si>
    <t>Name Upper</t>
  </si>
  <si>
    <t xml:space="preserve">Order </t>
  </si>
  <si>
    <t>Country Lower</t>
  </si>
  <si>
    <t>2.Upper function using customer name coloumn =UPPER(TEXT)</t>
  </si>
  <si>
    <t>1.Lower function using country coloumn =LOWER(TEXT)</t>
  </si>
  <si>
    <t>3.Proper function using name coloumn =PROPER(TEXT)</t>
  </si>
  <si>
    <t>australia</t>
  </si>
  <si>
    <t>CRAIG REITER</t>
  </si>
  <si>
    <t>germany</t>
  </si>
  <si>
    <t>KATHERINE MURRAY</t>
  </si>
  <si>
    <t/>
  </si>
  <si>
    <t>RICK HANSEN</t>
  </si>
  <si>
    <t>JIM MITCHUM</t>
  </si>
  <si>
    <t>new zealand</t>
  </si>
  <si>
    <t>TOBY SWINDELL</t>
  </si>
  <si>
    <t>MICK BROWN</t>
  </si>
  <si>
    <t>united states</t>
  </si>
  <si>
    <t>AARON BERGMAN</t>
  </si>
  <si>
    <t>afghanistan</t>
  </si>
  <si>
    <t>ANTHONY JACOBS</t>
  </si>
  <si>
    <t>saudi arabia</t>
  </si>
  <si>
    <t>MAGDELENE MORSE</t>
  </si>
  <si>
    <t>brazil</t>
  </si>
  <si>
    <t>VICKY FREYMANN</t>
  </si>
  <si>
    <t>china</t>
  </si>
  <si>
    <t>PETER FULLER</t>
  </si>
  <si>
    <t>france</t>
  </si>
  <si>
    <t>BEN PETERMAN</t>
  </si>
  <si>
    <t>italy</t>
  </si>
  <si>
    <t>JIM SINK</t>
  </si>
  <si>
    <t>tanzania</t>
  </si>
  <si>
    <t>RITSA HIGHTOWER</t>
  </si>
  <si>
    <t>ANN BLUME</t>
  </si>
  <si>
    <t>JASON KLAMCZYNSKI</t>
  </si>
  <si>
    <t>united kingdom</t>
  </si>
  <si>
    <t>LAUREL BELTRAN</t>
  </si>
  <si>
    <t>mexico</t>
  </si>
  <si>
    <t>NARESJ PATEL</t>
  </si>
  <si>
    <t>el salvador</t>
  </si>
  <si>
    <t>VALERIE DOMINGUEZ</t>
  </si>
  <si>
    <t>taiwan</t>
  </si>
  <si>
    <t>PHILLIP BREYER</t>
  </si>
  <si>
    <t>EUGENE BARCHAS</t>
  </si>
  <si>
    <t>AARON HAWKINS</t>
  </si>
  <si>
    <t>india</t>
  </si>
  <si>
    <t>BENJAMIN PATTERSON</t>
  </si>
  <si>
    <t>dominican republic</t>
  </si>
  <si>
    <t>RICK REED</t>
  </si>
  <si>
    <t>BILL SHONELY</t>
  </si>
  <si>
    <t>DAVE POIRIER</t>
  </si>
  <si>
    <t>democratic republic of the congo</t>
  </si>
  <si>
    <t>DAN LAWERA</t>
  </si>
  <si>
    <t>indonesia</t>
  </si>
  <si>
    <t>JOY BELL-</t>
  </si>
  <si>
    <t>BARRY FRANZ</t>
  </si>
  <si>
    <t>VIVEK GRADY</t>
  </si>
  <si>
    <t>GREG TRAN</t>
  </si>
  <si>
    <t>ZUSCHUSS CARROLL</t>
  </si>
  <si>
    <t>ELLI SBALLARD</t>
  </si>
  <si>
    <t>Elli Sballard</t>
  </si>
  <si>
    <t>ARTHUR PRICHEP</t>
  </si>
  <si>
    <t>SCOTT WILLIAMSON</t>
  </si>
  <si>
    <t>uruguay</t>
  </si>
  <si>
    <t>JOHN HUSTON</t>
  </si>
  <si>
    <t>iran</t>
  </si>
  <si>
    <t>TRUDY GLOCKE</t>
  </si>
  <si>
    <t>mozambique</t>
  </si>
  <si>
    <t>DEIRDRE GREER</t>
  </si>
  <si>
    <t xml:space="preserve"> SHERI GORDON </t>
  </si>
  <si>
    <t>GUY PHONELY</t>
  </si>
  <si>
    <t>MITCH WEBBER</t>
  </si>
  <si>
    <t>bangladesh</t>
  </si>
  <si>
    <t>CHUCK SACHS</t>
  </si>
  <si>
    <t>MICHAEL STEWART</t>
  </si>
  <si>
    <t>KIMBERLY CARTER</t>
  </si>
  <si>
    <t>DENNY BLANTON</t>
  </si>
  <si>
    <t>AARON SMAYLING</t>
  </si>
  <si>
    <t>spain</t>
  </si>
  <si>
    <t>DAVE KIPP</t>
  </si>
  <si>
    <t>CARI SAYRE</t>
  </si>
  <si>
    <t>EVAN MINNOTTE</t>
  </si>
  <si>
    <t>ukraine</t>
  </si>
  <si>
    <t>DIANNA WILSON</t>
  </si>
  <si>
    <t>china#</t>
  </si>
  <si>
    <t>ALAN SCHOENBERGER</t>
  </si>
  <si>
    <t>nicaragua</t>
  </si>
  <si>
    <t>SHUI TOM</t>
  </si>
  <si>
    <t>BARRY WEIRICH</t>
  </si>
  <si>
    <t>LAURA ARMSTRONG</t>
  </si>
  <si>
    <t>AIMEE BIXBY</t>
  </si>
  <si>
    <t>BOBBY ELIAS</t>
  </si>
  <si>
    <t>SAM ZELDIN</t>
  </si>
  <si>
    <t>RAYMOND MESSE</t>
  </si>
  <si>
    <t>HARRY GREENE</t>
  </si>
  <si>
    <t>morocco</t>
  </si>
  <si>
    <t xml:space="preserve"> AARON SMAYLING </t>
  </si>
  <si>
    <t>ANNE MCFARLAND</t>
  </si>
  <si>
    <t>Anne Mcfarland</t>
  </si>
  <si>
    <t>ALEJANDRO BALLENTINE</t>
  </si>
  <si>
    <t>RACHEL PAYNE</t>
  </si>
  <si>
    <t>BERENIKE KAMPE</t>
  </si>
  <si>
    <t>NICK ZANDUSKY</t>
  </si>
  <si>
    <t>philippines</t>
  </si>
  <si>
    <t>STEVE CHAPMAN</t>
  </si>
  <si>
    <t>NOAH CHILDS</t>
  </si>
  <si>
    <t>austria</t>
  </si>
  <si>
    <t>NATALIE FRITZLER</t>
  </si>
  <si>
    <t>PAUL MACINTYRE</t>
  </si>
  <si>
    <t>Paul Macintyre</t>
  </si>
  <si>
    <t>MARIA ZETTNER</t>
  </si>
  <si>
    <t>HENRY MACALLISTER</t>
  </si>
  <si>
    <t>Henry Macallister</t>
  </si>
  <si>
    <t xml:space="preserve">Region Proper </t>
  </si>
  <si>
    <t>IN-2014-CR127307-41930</t>
  </si>
  <si>
    <t>ES-2014-KM1637548-41668</t>
  </si>
  <si>
    <t>IN-2014-JM156557-41819</t>
  </si>
  <si>
    <t>IN-2013-MB1808592-41379</t>
  </si>
  <si>
    <t>CA-2014-AB10015140-41955</t>
  </si>
  <si>
    <t>ID-2013-AJ107801-41384</t>
  </si>
  <si>
    <t xml:space="preserve"> 2013-04-23</t>
  </si>
  <si>
    <t>SA-2012-MM7260110-41270</t>
  </si>
  <si>
    <t>MX-2013-VF2171518-41592</t>
  </si>
  <si>
    <t>IN-2014-PF1912027-41797</t>
  </si>
  <si>
    <t>ES-2015-BP1118545-42217</t>
  </si>
  <si>
    <t>CA-2012-AB10015140-40959</t>
  </si>
  <si>
    <t>ES-2015-PJ1883564-42256</t>
  </si>
  <si>
    <t>IN-2015-JS156857-42036</t>
  </si>
  <si>
    <t>TZ-2015-RH9555129-42344</t>
  </si>
  <si>
    <t>PL-2013-AB600103-41495</t>
  </si>
  <si>
    <t>CA-2012-AB10015140-40975</t>
  </si>
  <si>
    <t>IN-2012-JK1532527-41031</t>
  </si>
  <si>
    <t>ES-2014-LB16795139-41698</t>
  </si>
  <si>
    <r>
      <rPr>
        <sz val="11"/>
        <color rgb="FFFF0000"/>
        <rFont val="Calibri"/>
        <family val="2"/>
        <scheme val="minor"/>
      </rPr>
      <t>T</t>
    </r>
    <r>
      <rPr>
        <sz val="12"/>
        <color rgb="FFFF0000"/>
        <rFont val="Calibri"/>
        <family val="2"/>
        <scheme val="minor"/>
      </rPr>
      <t xml:space="preserve">ask 5-Text Functions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</si>
</sst>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2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27" formatCode="dd/mm/yyyy\ hh:mm"/>
    </dxf>
    <dxf>
      <numFmt numFmtId="27" formatCode="dd/mm/yyyy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7" formatCode="dd/mm/yyyy\ hh:mm"/>
    </dxf>
    <dxf>
      <numFmt numFmtId="27" formatCode="dd/mm/yyyy\ hh:mm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368099-6F63-442C-AD4B-9C48BC070B61}" name="Table1" displayName="Table1" ref="A1:P100" totalsRowShown="0" headerRowDxfId="11">
  <autoFilter ref="A1:P100" xr:uid="{F9368099-6F63-442C-AD4B-9C48BC070B61}"/>
  <tableColumns count="16">
    <tableColumn id="1" xr3:uid="{48F43728-9C2A-42FE-8924-C0021B599957}" name="Order ID"/>
    <tableColumn id="2" xr3:uid="{7CFC8C04-096E-4FF2-96F5-0A0AFE262A84}" name="Order Date" dataDxfId="10"/>
    <tableColumn id="3" xr3:uid="{CCFDA6FD-03B5-4989-9578-4C576C4608D1}" name="Ship Date" dataDxfId="9"/>
    <tableColumn id="4" xr3:uid="{A9CD63F8-34A2-4A4A-B0D2-7CE979695832}" name="Customer Name"/>
    <tableColumn id="5" xr3:uid="{E9FCEABA-4955-4D7D-81EA-75DE3258F5D1}" name="Country"/>
    <tableColumn id="6" xr3:uid="{504FD4A0-6E74-40AB-A421-A74A85568DA5}" name="Region"/>
    <tableColumn id="7" xr3:uid="{8059F58F-001D-4F13-A03B-B739896018CE}" name="Category"/>
    <tableColumn id="8" xr3:uid="{6420E4E4-5E11-40A1-9467-ADACE38C7922}" name="Sub-Category"/>
    <tableColumn id="9" xr3:uid="{B9FDC9F2-86BF-4695-AE84-B076767FF009}" name="Sales" dataDxfId="8"/>
    <tableColumn id="10" xr3:uid="{33779E3E-FBD3-4511-AFCA-96152750579D}" name="Quantity" dataDxfId="7"/>
    <tableColumn id="11" xr3:uid="{CD18ECE7-E303-440B-B13A-1BD1A1ED8CB1}" name="Discount" dataDxfId="6"/>
    <tableColumn id="12" xr3:uid="{1ACFDD4A-45DB-4674-8C50-876647A7678E}" name="Profit"/>
    <tableColumn id="13" xr3:uid="{BE74C5CA-7AE4-4DE2-8C4C-144E72FB799F}" name="Order Priority"/>
    <tableColumn id="15" xr3:uid="{B9E5271F-E295-4568-ACE6-173E99581277}" name="Left order id" dataDxfId="2">
      <calculatedColumnFormula>LEFT(A2,2)</calculatedColumnFormula>
    </tableColumn>
    <tableColumn id="17" xr3:uid="{B3BB3A0A-EE2E-4F79-B8EA-215C891C1DE9}" name="Mid id" dataDxfId="0">
      <calculatedColumnFormula>MID(A2,4,4)</calculatedColumnFormula>
    </tableColumn>
    <tableColumn id="14" xr3:uid="{9A8EBFB0-D417-46E3-9FFE-BF482B1F9455}" name="Right id" dataDxfId="1">
      <calculatedColumnFormula>RIGHT(A2,5)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4E4B95-3191-471D-950A-24BA547B4774}" name="Table3" displayName="Table3" ref="B1:N101" totalsRowShown="0" headerRowDxfId="5">
  <autoFilter ref="B1:N101" xr:uid="{F64E4B95-3191-471D-950A-24BA547B4774}"/>
  <tableColumns count="13">
    <tableColumn id="1" xr3:uid="{0A14DE83-AEE2-41B1-B571-9C2245F905F2}" name="Order Date" dataDxfId="4"/>
    <tableColumn id="2" xr3:uid="{5E81F88A-9EF2-4397-91A3-FCE5A81C4973}" name="Ship Date" dataDxfId="3"/>
    <tableColumn id="3" xr3:uid="{965D53EA-BAFF-41EE-8E25-B4998932FB9C}" name="Region"/>
    <tableColumn id="4" xr3:uid="{41B23C89-696D-4294-AC0F-D2778D30AF7A}" name="Category"/>
    <tableColumn id="5" xr3:uid="{D1FE11E9-7809-47E3-AED3-A6808454A53F}" name="Sub-Category"/>
    <tableColumn id="6" xr3:uid="{B93239E8-3A97-4BAA-B108-755AB0CF8DD0}" name="Sales"/>
    <tableColumn id="7" xr3:uid="{04A7714C-E6BE-412D-9768-EE3F67B4F7D0}" name="Quantity"/>
    <tableColumn id="8" xr3:uid="{A4ECE0B4-1E15-4D58-91D9-5213DD8D0B0F}" name="Discount"/>
    <tableColumn id="9" xr3:uid="{A83D012D-B2FE-48D7-A1BF-C547F4B063A3}" name="Profit"/>
    <tableColumn id="10" xr3:uid="{0E54291B-D0F5-4AC7-8813-DB2731285AA2}" name="Order "/>
    <tableColumn id="11" xr3:uid="{0734356F-7A3D-4059-9ADE-2D29E1CB2C8C}" name="Country Lower"/>
    <tableColumn id="12" xr3:uid="{EB00E068-B7BB-4BCA-9A8F-ADAE5CDA8A04}" name="Name Upper"/>
    <tableColumn id="13" xr3:uid="{C52A9011-CAF0-48B8-A225-807462120C48}" name="Region Proper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A182B-71D7-43E0-A1EF-C38329074AC7}">
  <dimension ref="A1:M100"/>
  <sheetViews>
    <sheetView workbookViewId="0">
      <selection activeCell="O11" sqref="O11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s="2">
        <v>41929</v>
      </c>
      <c r="C2" s="2">
        <v>41930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5175.1710000000003</v>
      </c>
      <c r="J2">
        <v>9</v>
      </c>
      <c r="K2">
        <v>0.1</v>
      </c>
      <c r="L2">
        <v>919.97099999999898</v>
      </c>
      <c r="M2" t="s">
        <v>19</v>
      </c>
    </row>
    <row r="3" spans="1:13" x14ac:dyDescent="0.3">
      <c r="A3" t="s">
        <v>20</v>
      </c>
      <c r="B3" s="2">
        <v>41667</v>
      </c>
      <c r="C3" s="2">
        <v>41669</v>
      </c>
      <c r="D3" t="s">
        <v>21</v>
      </c>
      <c r="E3" t="s">
        <v>22</v>
      </c>
      <c r="G3" t="s">
        <v>17</v>
      </c>
      <c r="H3" t="s">
        <v>23</v>
      </c>
      <c r="I3">
        <v>2892.5099999999902</v>
      </c>
      <c r="J3">
        <v>5</v>
      </c>
      <c r="K3">
        <v>0.1</v>
      </c>
      <c r="L3">
        <v>-96.54</v>
      </c>
    </row>
    <row r="4" spans="1:13" x14ac:dyDescent="0.3">
      <c r="B4" s="2">
        <v>41948</v>
      </c>
      <c r="C4" s="2">
        <v>41949</v>
      </c>
      <c r="D4" t="s">
        <v>24</v>
      </c>
      <c r="F4" t="s">
        <v>25</v>
      </c>
      <c r="G4" t="s">
        <v>17</v>
      </c>
      <c r="H4" t="s">
        <v>26</v>
      </c>
      <c r="I4">
        <v>2832.96</v>
      </c>
      <c r="J4">
        <v>8</v>
      </c>
      <c r="K4">
        <v>0</v>
      </c>
      <c r="L4">
        <v>311.52</v>
      </c>
      <c r="M4" t="s">
        <v>27</v>
      </c>
    </row>
    <row r="5" spans="1:13" x14ac:dyDescent="0.3">
      <c r="A5" t="s">
        <v>28</v>
      </c>
      <c r="B5" s="2">
        <v>41818</v>
      </c>
      <c r="C5" s="2">
        <v>41821</v>
      </c>
      <c r="D5" t="s">
        <v>29</v>
      </c>
      <c r="E5" t="s">
        <v>15</v>
      </c>
      <c r="F5" t="s">
        <v>16</v>
      </c>
      <c r="G5" t="s">
        <v>17</v>
      </c>
      <c r="H5" t="s">
        <v>26</v>
      </c>
      <c r="I5">
        <v>2862.6750000000002</v>
      </c>
      <c r="J5">
        <v>5</v>
      </c>
      <c r="K5">
        <v>0.1</v>
      </c>
      <c r="L5">
        <v>763.27499999999998</v>
      </c>
      <c r="M5" t="s">
        <v>27</v>
      </c>
    </row>
    <row r="6" spans="1:13" x14ac:dyDescent="0.3">
      <c r="B6" s="2">
        <v>41219</v>
      </c>
      <c r="C6" s="2">
        <v>41221</v>
      </c>
      <c r="D6" t="s">
        <v>30</v>
      </c>
      <c r="E6" t="s">
        <v>31</v>
      </c>
      <c r="F6" t="s">
        <v>16</v>
      </c>
      <c r="G6" t="s">
        <v>32</v>
      </c>
      <c r="H6" t="s">
        <v>33</v>
      </c>
      <c r="I6">
        <v>1822.0799999999899</v>
      </c>
      <c r="J6">
        <v>4</v>
      </c>
      <c r="K6">
        <v>0</v>
      </c>
      <c r="L6">
        <v>564.84</v>
      </c>
      <c r="M6" t="s">
        <v>27</v>
      </c>
    </row>
    <row r="7" spans="1:13" x14ac:dyDescent="0.3">
      <c r="A7" t="s">
        <v>34</v>
      </c>
      <c r="D7" t="s">
        <v>35</v>
      </c>
      <c r="E7" t="s">
        <v>31</v>
      </c>
      <c r="F7" t="s">
        <v>16</v>
      </c>
      <c r="G7" t="s">
        <v>32</v>
      </c>
      <c r="H7" t="s">
        <v>26</v>
      </c>
      <c r="I7">
        <v>5244.84</v>
      </c>
      <c r="J7" t="s">
        <v>36</v>
      </c>
      <c r="K7">
        <v>0</v>
      </c>
      <c r="L7">
        <v>996.479999999999</v>
      </c>
      <c r="M7" t="s">
        <v>37</v>
      </c>
    </row>
    <row r="8" spans="1:13" x14ac:dyDescent="0.3">
      <c r="A8" t="s">
        <v>38</v>
      </c>
      <c r="B8" s="2">
        <v>41954</v>
      </c>
      <c r="C8" s="2">
        <v>41956</v>
      </c>
      <c r="D8" t="s">
        <v>39</v>
      </c>
      <c r="E8" t="s">
        <v>40</v>
      </c>
      <c r="F8" t="s">
        <v>41</v>
      </c>
      <c r="G8" t="s">
        <v>32</v>
      </c>
      <c r="H8" t="s">
        <v>23</v>
      </c>
      <c r="I8">
        <v>341.96</v>
      </c>
      <c r="J8">
        <v>2</v>
      </c>
      <c r="K8">
        <v>0</v>
      </c>
      <c r="L8">
        <v>54.7135999999999</v>
      </c>
      <c r="M8" t="s">
        <v>37</v>
      </c>
    </row>
    <row r="9" spans="1:13" x14ac:dyDescent="0.3">
      <c r="A9" t="s">
        <v>42</v>
      </c>
      <c r="B9" s="2">
        <v>40974</v>
      </c>
      <c r="C9" s="2">
        <v>40975</v>
      </c>
      <c r="D9" t="s">
        <v>39</v>
      </c>
      <c r="E9" t="s">
        <v>40</v>
      </c>
      <c r="F9" t="s">
        <v>43</v>
      </c>
      <c r="G9" t="s">
        <v>32</v>
      </c>
      <c r="H9" t="s">
        <v>44</v>
      </c>
      <c r="I9">
        <v>48.712000000000003</v>
      </c>
      <c r="J9">
        <v>1</v>
      </c>
      <c r="L9">
        <v>5.4800999999999904</v>
      </c>
      <c r="M9" t="s">
        <v>37</v>
      </c>
    </row>
    <row r="10" spans="1:13" x14ac:dyDescent="0.3">
      <c r="A10" t="s">
        <v>42</v>
      </c>
      <c r="B10" s="2">
        <v>40974</v>
      </c>
      <c r="C10" s="2">
        <v>40975</v>
      </c>
      <c r="D10" t="s">
        <v>39</v>
      </c>
      <c r="F10" t="s">
        <v>43</v>
      </c>
      <c r="G10" t="s">
        <v>45</v>
      </c>
      <c r="H10" t="s">
        <v>46</v>
      </c>
      <c r="I10" t="s">
        <v>47</v>
      </c>
      <c r="J10">
        <v>3</v>
      </c>
      <c r="K10">
        <v>0</v>
      </c>
      <c r="L10">
        <v>26.647123533229099</v>
      </c>
      <c r="M10" t="s">
        <v>37</v>
      </c>
    </row>
    <row r="11" spans="1:13" x14ac:dyDescent="0.3">
      <c r="A11" t="s">
        <v>48</v>
      </c>
      <c r="B11" s="2">
        <v>41383</v>
      </c>
      <c r="C11" t="s">
        <v>49</v>
      </c>
      <c r="D11" t="s">
        <v>50</v>
      </c>
      <c r="E11" t="s">
        <v>51</v>
      </c>
      <c r="F11" t="s">
        <v>52</v>
      </c>
      <c r="G11" t="s">
        <v>32</v>
      </c>
      <c r="H11" t="s">
        <v>44</v>
      </c>
      <c r="I11">
        <v>4626.1499999999996</v>
      </c>
      <c r="J11">
        <v>5</v>
      </c>
      <c r="K11">
        <v>0</v>
      </c>
      <c r="M11" t="s">
        <v>37</v>
      </c>
    </row>
    <row r="12" spans="1:13" x14ac:dyDescent="0.3">
      <c r="A12" t="s">
        <v>53</v>
      </c>
      <c r="B12" s="2">
        <v>41269</v>
      </c>
      <c r="D12" t="s">
        <v>54</v>
      </c>
      <c r="E12" t="s">
        <v>55</v>
      </c>
      <c r="F12" t="s">
        <v>56</v>
      </c>
      <c r="G12" t="s">
        <v>17</v>
      </c>
      <c r="H12" t="s">
        <v>57</v>
      </c>
      <c r="I12">
        <v>2616.96</v>
      </c>
      <c r="J12">
        <v>4</v>
      </c>
      <c r="K12">
        <v>0</v>
      </c>
      <c r="L12">
        <v>1151.4000000000001</v>
      </c>
      <c r="M12" t="s">
        <v>27</v>
      </c>
    </row>
    <row r="13" spans="1:13" x14ac:dyDescent="0.3">
      <c r="A13" t="s">
        <v>58</v>
      </c>
      <c r="B13" s="2">
        <v>41591</v>
      </c>
      <c r="C13" s="2">
        <v>41591</v>
      </c>
      <c r="D13" t="s">
        <v>59</v>
      </c>
      <c r="E13" t="s">
        <v>60</v>
      </c>
      <c r="F13" t="s">
        <v>61</v>
      </c>
      <c r="G13" t="s">
        <v>32</v>
      </c>
      <c r="H13" t="s">
        <v>44</v>
      </c>
      <c r="I13" t="s">
        <v>62</v>
      </c>
      <c r="J13" t="s">
        <v>63</v>
      </c>
      <c r="K13">
        <v>0</v>
      </c>
      <c r="L13">
        <v>622.02</v>
      </c>
      <c r="M13" t="s">
        <v>27</v>
      </c>
    </row>
    <row r="14" spans="1:13" x14ac:dyDescent="0.3">
      <c r="A14" t="s">
        <v>64</v>
      </c>
      <c r="B14" s="2">
        <v>41796</v>
      </c>
      <c r="C14" s="2">
        <v>41798</v>
      </c>
      <c r="D14" t="s">
        <v>65</v>
      </c>
      <c r="E14" t="s">
        <v>66</v>
      </c>
      <c r="F14" t="s">
        <v>67</v>
      </c>
      <c r="G14" t="s">
        <v>45</v>
      </c>
      <c r="H14" t="s">
        <v>26</v>
      </c>
      <c r="I14">
        <v>3701.51999999999</v>
      </c>
      <c r="J14">
        <v>12</v>
      </c>
      <c r="K14">
        <v>0</v>
      </c>
      <c r="L14">
        <v>1036.08</v>
      </c>
      <c r="M14" t="s">
        <v>27</v>
      </c>
    </row>
    <row r="15" spans="1:13" x14ac:dyDescent="0.3">
      <c r="A15" t="s">
        <v>68</v>
      </c>
      <c r="B15" s="2">
        <v>42216</v>
      </c>
      <c r="C15" s="2">
        <v>42219</v>
      </c>
      <c r="D15" t="s">
        <v>69</v>
      </c>
      <c r="E15" t="s">
        <v>70</v>
      </c>
      <c r="F15" t="s">
        <v>71</v>
      </c>
      <c r="G15" t="s">
        <v>45</v>
      </c>
      <c r="H15" t="s">
        <v>23</v>
      </c>
      <c r="I15">
        <v>1869.58799999999</v>
      </c>
      <c r="J15">
        <v>4</v>
      </c>
      <c r="K15">
        <v>0.1</v>
      </c>
      <c r="M15" t="s">
        <v>27</v>
      </c>
    </row>
    <row r="16" spans="1:13" x14ac:dyDescent="0.3">
      <c r="A16" t="s">
        <v>72</v>
      </c>
      <c r="B16" s="2">
        <v>40958</v>
      </c>
      <c r="C16" s="2">
        <v>40964</v>
      </c>
      <c r="D16" t="s">
        <v>39</v>
      </c>
      <c r="E16" t="s">
        <v>40</v>
      </c>
      <c r="F16" t="s">
        <v>41</v>
      </c>
      <c r="G16" t="s">
        <v>45</v>
      </c>
      <c r="H16" t="s">
        <v>73</v>
      </c>
      <c r="I16">
        <v>12.624000000000001</v>
      </c>
      <c r="J16">
        <v>2</v>
      </c>
      <c r="K16">
        <v>0.2</v>
      </c>
      <c r="L16">
        <v>-2.5247999999999999</v>
      </c>
      <c r="M16" t="s">
        <v>74</v>
      </c>
    </row>
    <row r="17" spans="1:13" x14ac:dyDescent="0.3">
      <c r="A17" t="s">
        <v>75</v>
      </c>
      <c r="B17" s="2">
        <v>42255</v>
      </c>
      <c r="C17" s="2">
        <v>42261</v>
      </c>
      <c r="E17" t="s">
        <v>76</v>
      </c>
      <c r="F17" t="s">
        <v>77</v>
      </c>
      <c r="G17" t="s">
        <v>45</v>
      </c>
      <c r="H17" t="s">
        <v>73</v>
      </c>
      <c r="I17" t="s">
        <v>78</v>
      </c>
      <c r="J17">
        <v>14</v>
      </c>
      <c r="K17">
        <v>0</v>
      </c>
      <c r="L17">
        <v>3979.0799999999899</v>
      </c>
      <c r="M17" t="s">
        <v>74</v>
      </c>
    </row>
    <row r="18" spans="1:13" x14ac:dyDescent="0.3">
      <c r="A18" t="s">
        <v>79</v>
      </c>
      <c r="B18" s="2">
        <v>42035</v>
      </c>
      <c r="C18" s="2">
        <v>42036</v>
      </c>
      <c r="D18" t="s">
        <v>80</v>
      </c>
      <c r="E18" t="s">
        <v>15</v>
      </c>
      <c r="F18" t="s">
        <v>16</v>
      </c>
      <c r="H18" t="s">
        <v>18</v>
      </c>
      <c r="I18">
        <v>2565.5940000000001</v>
      </c>
      <c r="J18">
        <v>9</v>
      </c>
      <c r="M18" t="s">
        <v>27</v>
      </c>
    </row>
    <row r="19" spans="1:13" x14ac:dyDescent="0.3">
      <c r="A19" t="s">
        <v>81</v>
      </c>
      <c r="B19" s="2">
        <v>42343</v>
      </c>
      <c r="C19" s="2">
        <v>42345</v>
      </c>
      <c r="D19" t="s">
        <v>82</v>
      </c>
      <c r="E19" t="s">
        <v>83</v>
      </c>
      <c r="F19" t="s">
        <v>84</v>
      </c>
      <c r="G19" t="s">
        <v>45</v>
      </c>
      <c r="H19" t="s">
        <v>73</v>
      </c>
      <c r="I19">
        <v>3409.74</v>
      </c>
      <c r="J19">
        <v>6</v>
      </c>
      <c r="K19">
        <v>0</v>
      </c>
      <c r="L19">
        <v>818.28</v>
      </c>
      <c r="M19" t="s">
        <v>37</v>
      </c>
    </row>
    <row r="20" spans="1:13" x14ac:dyDescent="0.3">
      <c r="A20" t="s">
        <v>85</v>
      </c>
      <c r="B20" s="2">
        <v>41494</v>
      </c>
      <c r="C20" s="2">
        <v>41496</v>
      </c>
      <c r="D20" t="s">
        <v>86</v>
      </c>
      <c r="F20" t="s">
        <v>87</v>
      </c>
      <c r="G20" t="s">
        <v>32</v>
      </c>
      <c r="H20" t="s">
        <v>33</v>
      </c>
      <c r="I20">
        <v>1977.71999999999</v>
      </c>
      <c r="J20">
        <v>4</v>
      </c>
      <c r="K20">
        <v>0</v>
      </c>
      <c r="L20">
        <v>276.83999999999997</v>
      </c>
      <c r="M20" t="s">
        <v>27</v>
      </c>
    </row>
    <row r="21" spans="1:13" x14ac:dyDescent="0.3">
      <c r="A21" t="s">
        <v>42</v>
      </c>
      <c r="B21" s="2">
        <v>40974</v>
      </c>
      <c r="C21" s="2">
        <v>40975</v>
      </c>
      <c r="D21" t="s">
        <v>39</v>
      </c>
      <c r="E21" t="s">
        <v>40</v>
      </c>
      <c r="F21" t="s">
        <v>43</v>
      </c>
      <c r="G21" t="s">
        <v>45</v>
      </c>
      <c r="H21" t="s">
        <v>73</v>
      </c>
      <c r="I21">
        <v>242.94</v>
      </c>
      <c r="J21">
        <v>3</v>
      </c>
      <c r="K21">
        <v>0</v>
      </c>
      <c r="L21">
        <v>4.8588000000000102</v>
      </c>
      <c r="M21" t="s">
        <v>37</v>
      </c>
    </row>
    <row r="22" spans="1:13" x14ac:dyDescent="0.3">
      <c r="A22" t="s">
        <v>88</v>
      </c>
      <c r="B22" s="2">
        <v>41030</v>
      </c>
      <c r="C22" s="2">
        <v>41031</v>
      </c>
      <c r="D22" t="s">
        <v>89</v>
      </c>
      <c r="E22" t="s">
        <v>66</v>
      </c>
      <c r="F22" t="s">
        <v>90</v>
      </c>
      <c r="G22" t="s">
        <v>32</v>
      </c>
      <c r="H22" t="s">
        <v>44</v>
      </c>
      <c r="I22">
        <v>2753.99999999999</v>
      </c>
      <c r="J22">
        <v>6</v>
      </c>
      <c r="K22">
        <v>0</v>
      </c>
      <c r="L22">
        <v>358.02</v>
      </c>
      <c r="M22" t="s">
        <v>27</v>
      </c>
    </row>
    <row r="23" spans="1:13" x14ac:dyDescent="0.3">
      <c r="A23" t="s">
        <v>91</v>
      </c>
      <c r="B23" s="2">
        <v>41697</v>
      </c>
      <c r="C23" s="2">
        <v>41699</v>
      </c>
      <c r="D23" t="s">
        <v>92</v>
      </c>
      <c r="E23" t="s">
        <v>93</v>
      </c>
      <c r="F23" t="s">
        <v>94</v>
      </c>
      <c r="G23" t="s">
        <v>45</v>
      </c>
      <c r="H23" t="s">
        <v>26</v>
      </c>
      <c r="I23">
        <v>5273.7</v>
      </c>
      <c r="J23">
        <v>10</v>
      </c>
      <c r="L23">
        <v>1898.4</v>
      </c>
      <c r="M23" t="s">
        <v>37</v>
      </c>
    </row>
    <row r="24" spans="1:13" x14ac:dyDescent="0.3">
      <c r="A24" t="s">
        <v>95</v>
      </c>
      <c r="B24" s="2">
        <v>42216</v>
      </c>
      <c r="C24" s="2">
        <v>42217</v>
      </c>
      <c r="D24" t="s">
        <v>96</v>
      </c>
      <c r="E24" t="s">
        <v>97</v>
      </c>
      <c r="F24" t="s">
        <v>98</v>
      </c>
      <c r="G24" t="s">
        <v>17</v>
      </c>
      <c r="H24" t="s">
        <v>23</v>
      </c>
      <c r="I24">
        <v>1713.84</v>
      </c>
      <c r="J24">
        <v>4</v>
      </c>
      <c r="K24">
        <v>0</v>
      </c>
      <c r="L24">
        <v>445.52</v>
      </c>
      <c r="M24" t="s">
        <v>27</v>
      </c>
    </row>
    <row r="25" spans="1:13" x14ac:dyDescent="0.3">
      <c r="A25" t="s">
        <v>99</v>
      </c>
      <c r="B25" s="2">
        <v>42252</v>
      </c>
      <c r="C25" s="2">
        <v>42255</v>
      </c>
      <c r="D25" t="s">
        <v>100</v>
      </c>
      <c r="E25" t="s">
        <v>101</v>
      </c>
      <c r="F25" t="s">
        <v>98</v>
      </c>
      <c r="G25" t="s">
        <v>32</v>
      </c>
      <c r="H25" t="s">
        <v>73</v>
      </c>
      <c r="I25">
        <v>2106.4960000000001</v>
      </c>
      <c r="J25">
        <v>8</v>
      </c>
      <c r="K25">
        <v>0.2</v>
      </c>
      <c r="L25">
        <v>526.49599999999998</v>
      </c>
      <c r="M25" t="s">
        <v>27</v>
      </c>
    </row>
    <row r="26" spans="1:13" x14ac:dyDescent="0.3">
      <c r="A26" t="s">
        <v>102</v>
      </c>
      <c r="B26" s="2">
        <v>41259</v>
      </c>
      <c r="C26" s="2">
        <v>41262</v>
      </c>
      <c r="D26" t="s">
        <v>103</v>
      </c>
      <c r="E26" t="s">
        <v>104</v>
      </c>
      <c r="F26" t="s">
        <v>90</v>
      </c>
      <c r="G26" t="s">
        <v>32</v>
      </c>
      <c r="H26" t="s">
        <v>26</v>
      </c>
      <c r="I26">
        <v>1715.1599999999901</v>
      </c>
      <c r="K26">
        <v>0</v>
      </c>
      <c r="L26">
        <v>720.36</v>
      </c>
      <c r="M26" t="s">
        <v>27</v>
      </c>
    </row>
    <row r="27" spans="1:13" x14ac:dyDescent="0.3">
      <c r="A27" t="s">
        <v>105</v>
      </c>
      <c r="C27" s="2">
        <v>40984</v>
      </c>
      <c r="D27" t="s">
        <v>106</v>
      </c>
      <c r="E27" t="s">
        <v>22</v>
      </c>
      <c r="F27" t="s">
        <v>107</v>
      </c>
      <c r="G27" t="s">
        <v>108</v>
      </c>
      <c r="H27" t="s">
        <v>44</v>
      </c>
      <c r="I27">
        <v>3069.7379999999998</v>
      </c>
      <c r="J27">
        <v>6</v>
      </c>
      <c r="K27">
        <v>0.1</v>
      </c>
      <c r="L27">
        <v>1364.2379999999901</v>
      </c>
      <c r="M27" t="s">
        <v>27</v>
      </c>
    </row>
    <row r="28" spans="1:13" x14ac:dyDescent="0.3">
      <c r="A28" t="s">
        <v>109</v>
      </c>
      <c r="B28" s="2">
        <v>41020</v>
      </c>
      <c r="C28" s="2">
        <v>41022</v>
      </c>
      <c r="D28" t="s">
        <v>110</v>
      </c>
      <c r="E28" t="s">
        <v>40</v>
      </c>
      <c r="F28" t="s">
        <v>111</v>
      </c>
      <c r="G28" t="s">
        <v>45</v>
      </c>
      <c r="H28" t="s">
        <v>44</v>
      </c>
      <c r="I28">
        <v>247.84</v>
      </c>
      <c r="J28">
        <v>8</v>
      </c>
      <c r="K28">
        <v>0</v>
      </c>
      <c r="L28">
        <v>121.44159999999999</v>
      </c>
      <c r="M28" t="s">
        <v>27</v>
      </c>
    </row>
    <row r="29" spans="1:13" x14ac:dyDescent="0.3">
      <c r="A29" t="s">
        <v>112</v>
      </c>
      <c r="B29" s="2">
        <v>41329</v>
      </c>
      <c r="C29" s="2">
        <v>41329</v>
      </c>
      <c r="D29" t="s">
        <v>113</v>
      </c>
      <c r="E29" t="s">
        <v>114</v>
      </c>
      <c r="F29" t="s">
        <v>115</v>
      </c>
      <c r="G29" t="s">
        <v>32</v>
      </c>
      <c r="H29" t="s">
        <v>73</v>
      </c>
      <c r="I29">
        <v>1878.71999999999</v>
      </c>
      <c r="J29">
        <v>4</v>
      </c>
      <c r="L29">
        <v>582.36</v>
      </c>
      <c r="M29" t="s">
        <v>27</v>
      </c>
    </row>
    <row r="30" spans="1:13" x14ac:dyDescent="0.3">
      <c r="A30" t="s">
        <v>116</v>
      </c>
      <c r="B30" s="2">
        <v>41270</v>
      </c>
      <c r="C30" t="s">
        <v>117</v>
      </c>
      <c r="D30" t="s">
        <v>118</v>
      </c>
      <c r="E30" t="s">
        <v>119</v>
      </c>
      <c r="F30" t="s">
        <v>120</v>
      </c>
      <c r="G30" t="s">
        <v>17</v>
      </c>
      <c r="H30" t="s">
        <v>26</v>
      </c>
      <c r="I30">
        <v>1696.64</v>
      </c>
      <c r="J30">
        <v>5</v>
      </c>
      <c r="L30">
        <v>-148.46</v>
      </c>
      <c r="M30" t="s">
        <v>27</v>
      </c>
    </row>
    <row r="31" spans="1:13" x14ac:dyDescent="0.3">
      <c r="A31" t="s">
        <v>121</v>
      </c>
      <c r="B31" s="2">
        <v>41472</v>
      </c>
      <c r="C31" s="2">
        <v>41474</v>
      </c>
      <c r="D31" t="s">
        <v>122</v>
      </c>
      <c r="E31" t="s">
        <v>70</v>
      </c>
      <c r="F31" t="s">
        <v>71</v>
      </c>
      <c r="G31" t="s">
        <v>17</v>
      </c>
      <c r="H31" t="s">
        <v>23</v>
      </c>
      <c r="I31">
        <v>2402.8649999999998</v>
      </c>
      <c r="J31">
        <v>9</v>
      </c>
      <c r="K31">
        <v>0.15</v>
      </c>
      <c r="L31">
        <v>763.15499999999997</v>
      </c>
      <c r="M31" t="s">
        <v>27</v>
      </c>
    </row>
    <row r="32" spans="1:13" x14ac:dyDescent="0.3">
      <c r="A32" t="s">
        <v>123</v>
      </c>
      <c r="B32" s="2">
        <v>41635</v>
      </c>
      <c r="C32" s="2">
        <v>41639</v>
      </c>
      <c r="D32" t="s">
        <v>110</v>
      </c>
      <c r="E32" t="s">
        <v>40</v>
      </c>
      <c r="F32" t="s">
        <v>43</v>
      </c>
      <c r="G32" t="s">
        <v>17</v>
      </c>
      <c r="H32" t="s">
        <v>26</v>
      </c>
      <c r="I32">
        <v>668.16</v>
      </c>
      <c r="J32">
        <v>9</v>
      </c>
      <c r="K32">
        <v>0.2</v>
      </c>
      <c r="L32">
        <v>75.167999999999907</v>
      </c>
      <c r="M32" t="s">
        <v>19</v>
      </c>
    </row>
    <row r="33" spans="1:13" x14ac:dyDescent="0.3">
      <c r="A33" t="s">
        <v>124</v>
      </c>
      <c r="B33" t="s">
        <v>125</v>
      </c>
      <c r="C33" s="2">
        <v>41217</v>
      </c>
      <c r="D33" t="s">
        <v>126</v>
      </c>
      <c r="E33" t="s">
        <v>15</v>
      </c>
      <c r="F33" t="s">
        <v>16</v>
      </c>
      <c r="G33" t="s">
        <v>45</v>
      </c>
      <c r="H33" t="s">
        <v>127</v>
      </c>
      <c r="I33">
        <v>2526.9299999999998</v>
      </c>
      <c r="J33">
        <v>5</v>
      </c>
      <c r="K33">
        <v>0.1</v>
      </c>
      <c r="L33">
        <v>561.48</v>
      </c>
      <c r="M33" t="s">
        <v>27</v>
      </c>
    </row>
    <row r="34" spans="1:13" x14ac:dyDescent="0.3">
      <c r="A34" t="s">
        <v>128</v>
      </c>
      <c r="B34" s="2">
        <v>41635</v>
      </c>
      <c r="C34" s="2">
        <v>41639</v>
      </c>
      <c r="D34" t="s">
        <v>110</v>
      </c>
      <c r="E34" t="s">
        <v>40</v>
      </c>
      <c r="F34" t="s">
        <v>43</v>
      </c>
      <c r="G34" t="s">
        <v>45</v>
      </c>
      <c r="H34" t="s">
        <v>23</v>
      </c>
      <c r="I34">
        <v>323.10000000000002</v>
      </c>
      <c r="J34">
        <v>2</v>
      </c>
      <c r="K34">
        <v>0</v>
      </c>
      <c r="L34">
        <v>61.389000000000003</v>
      </c>
      <c r="M34" t="s">
        <v>19</v>
      </c>
    </row>
    <row r="35" spans="1:13" x14ac:dyDescent="0.3">
      <c r="A35" t="s">
        <v>129</v>
      </c>
      <c r="B35" s="2">
        <v>41165</v>
      </c>
      <c r="C35" s="2">
        <v>41166</v>
      </c>
      <c r="D35" t="s">
        <v>110</v>
      </c>
      <c r="E35" t="s">
        <v>130</v>
      </c>
      <c r="F35" t="s">
        <v>131</v>
      </c>
      <c r="G35" t="s">
        <v>132</v>
      </c>
      <c r="H35" t="s">
        <v>73</v>
      </c>
      <c r="I35">
        <v>3817.26</v>
      </c>
      <c r="J35">
        <v>6</v>
      </c>
      <c r="K35">
        <v>0</v>
      </c>
      <c r="L35">
        <v>1068.6599999999901</v>
      </c>
      <c r="M35" t="s">
        <v>37</v>
      </c>
    </row>
    <row r="36" spans="1:13" x14ac:dyDescent="0.3">
      <c r="A36" t="s">
        <v>133</v>
      </c>
      <c r="B36" s="2">
        <v>41041</v>
      </c>
      <c r="C36" t="s">
        <v>134</v>
      </c>
      <c r="D36" t="s">
        <v>110</v>
      </c>
      <c r="E36" t="s">
        <v>40</v>
      </c>
      <c r="F36" t="s">
        <v>43</v>
      </c>
      <c r="G36" t="s">
        <v>32</v>
      </c>
      <c r="H36" t="s">
        <v>44</v>
      </c>
      <c r="I36">
        <v>279.45600000000002</v>
      </c>
      <c r="J36">
        <v>6</v>
      </c>
      <c r="K36">
        <v>0.2</v>
      </c>
      <c r="L36">
        <v>20.9591999999999</v>
      </c>
      <c r="M36" t="s">
        <v>19</v>
      </c>
    </row>
    <row r="37" spans="1:13" x14ac:dyDescent="0.3">
      <c r="A37" t="s">
        <v>135</v>
      </c>
      <c r="B37" s="2">
        <v>41273</v>
      </c>
      <c r="C37" s="2">
        <v>41274</v>
      </c>
      <c r="E37" t="s">
        <v>40</v>
      </c>
      <c r="F37" t="s">
        <v>111</v>
      </c>
      <c r="G37" t="s">
        <v>17</v>
      </c>
      <c r="H37" t="s">
        <v>26</v>
      </c>
      <c r="I37">
        <v>34.769999999999897</v>
      </c>
      <c r="J37">
        <v>3</v>
      </c>
      <c r="K37">
        <v>0</v>
      </c>
      <c r="L37">
        <v>11.4740999999999</v>
      </c>
      <c r="M37" t="s">
        <v>37</v>
      </c>
    </row>
    <row r="38" spans="1:13" x14ac:dyDescent="0.3">
      <c r="A38" t="s">
        <v>136</v>
      </c>
      <c r="B38" s="2">
        <v>42018</v>
      </c>
      <c r="C38" s="2">
        <v>42022</v>
      </c>
      <c r="E38" t="s">
        <v>93</v>
      </c>
      <c r="F38" t="s">
        <v>94</v>
      </c>
      <c r="G38" t="s">
        <v>17</v>
      </c>
      <c r="H38" t="s">
        <v>127</v>
      </c>
      <c r="I38">
        <v>4141.0200000000004</v>
      </c>
      <c r="J38">
        <v>13</v>
      </c>
      <c r="K38">
        <v>0</v>
      </c>
      <c r="L38">
        <v>1697.67</v>
      </c>
      <c r="M38" t="s">
        <v>37</v>
      </c>
    </row>
    <row r="39" spans="1:13" x14ac:dyDescent="0.3">
      <c r="A39" t="s">
        <v>137</v>
      </c>
      <c r="B39" s="2">
        <v>40918</v>
      </c>
      <c r="C39" s="2">
        <v>41214</v>
      </c>
      <c r="D39" t="s">
        <v>138</v>
      </c>
      <c r="E39" t="s">
        <v>15</v>
      </c>
      <c r="F39" t="s">
        <v>16</v>
      </c>
      <c r="G39" t="s">
        <v>17</v>
      </c>
      <c r="H39" t="s">
        <v>127</v>
      </c>
      <c r="I39">
        <v>2875.0949999999998</v>
      </c>
      <c r="J39">
        <v>5</v>
      </c>
      <c r="K39">
        <v>0.1</v>
      </c>
      <c r="L39">
        <v>511.094999999999</v>
      </c>
      <c r="M39" t="s">
        <v>19</v>
      </c>
    </row>
    <row r="40" spans="1:13" x14ac:dyDescent="0.3">
      <c r="A40" t="s">
        <v>139</v>
      </c>
      <c r="B40" s="2">
        <v>41873</v>
      </c>
      <c r="C40" s="2">
        <v>41877</v>
      </c>
      <c r="D40" t="s">
        <v>140</v>
      </c>
      <c r="E40" t="s">
        <v>141</v>
      </c>
      <c r="F40" t="s">
        <v>142</v>
      </c>
      <c r="G40" t="s">
        <v>17</v>
      </c>
      <c r="H40" t="s">
        <v>33</v>
      </c>
      <c r="I40">
        <v>3200.5962</v>
      </c>
      <c r="J40">
        <v>6</v>
      </c>
      <c r="K40">
        <v>0.17</v>
      </c>
      <c r="L40">
        <v>-77.203799999999802</v>
      </c>
      <c r="M40" t="s">
        <v>37</v>
      </c>
    </row>
    <row r="41" spans="1:13" x14ac:dyDescent="0.3">
      <c r="A41" t="s">
        <v>143</v>
      </c>
      <c r="B41" s="2">
        <v>42319</v>
      </c>
      <c r="C41" s="2">
        <v>42323</v>
      </c>
      <c r="D41" t="s">
        <v>144</v>
      </c>
      <c r="E41" t="s">
        <v>114</v>
      </c>
      <c r="F41" t="s">
        <v>115</v>
      </c>
      <c r="G41" t="s">
        <v>17</v>
      </c>
      <c r="H41" t="s">
        <v>26</v>
      </c>
      <c r="I41">
        <v>4518.78</v>
      </c>
      <c r="J41">
        <v>7</v>
      </c>
      <c r="K41">
        <v>0</v>
      </c>
      <c r="L41">
        <v>632.52</v>
      </c>
      <c r="M41" t="s">
        <v>37</v>
      </c>
    </row>
    <row r="42" spans="1:13" x14ac:dyDescent="0.3">
      <c r="A42" t="s">
        <v>145</v>
      </c>
      <c r="B42" s="2">
        <v>42273</v>
      </c>
      <c r="C42" s="2">
        <v>42275</v>
      </c>
      <c r="D42" t="s">
        <v>146</v>
      </c>
      <c r="E42" t="s">
        <v>114</v>
      </c>
      <c r="F42" t="s">
        <v>115</v>
      </c>
      <c r="G42" t="s">
        <v>32</v>
      </c>
      <c r="H42" t="s">
        <v>26</v>
      </c>
      <c r="I42">
        <v>5667.87</v>
      </c>
      <c r="J42">
        <v>13</v>
      </c>
      <c r="K42">
        <v>0</v>
      </c>
      <c r="L42">
        <v>2097.0300000000002</v>
      </c>
      <c r="M42" t="s">
        <v>19</v>
      </c>
    </row>
    <row r="43" spans="1:13" x14ac:dyDescent="0.3">
      <c r="A43" t="s">
        <v>147</v>
      </c>
      <c r="B43" s="2">
        <v>41621</v>
      </c>
      <c r="C43" s="2">
        <v>41625</v>
      </c>
      <c r="D43" t="s">
        <v>148</v>
      </c>
      <c r="E43" t="s">
        <v>93</v>
      </c>
      <c r="F43" t="s">
        <v>94</v>
      </c>
      <c r="G43" t="s">
        <v>17</v>
      </c>
      <c r="H43" t="s">
        <v>26</v>
      </c>
      <c r="I43">
        <v>5785.0199999999904</v>
      </c>
      <c r="J43">
        <v>9</v>
      </c>
      <c r="K43">
        <v>0</v>
      </c>
      <c r="L43">
        <v>404.73</v>
      </c>
      <c r="M43" t="s">
        <v>37</v>
      </c>
    </row>
    <row r="44" spans="1:13" x14ac:dyDescent="0.3">
      <c r="A44" t="s">
        <v>149</v>
      </c>
      <c r="B44" s="2">
        <v>41174</v>
      </c>
      <c r="C44" s="2">
        <v>41176</v>
      </c>
      <c r="D44" t="s">
        <v>150</v>
      </c>
      <c r="E44" t="s">
        <v>22</v>
      </c>
      <c r="F44" t="s">
        <v>71</v>
      </c>
      <c r="G44" t="s">
        <v>45</v>
      </c>
      <c r="H44" t="s">
        <v>151</v>
      </c>
      <c r="I44">
        <v>3018.6239999999998</v>
      </c>
      <c r="J44">
        <v>7</v>
      </c>
      <c r="K44">
        <v>0.2</v>
      </c>
      <c r="L44">
        <v>377.24399999999901</v>
      </c>
      <c r="M44" t="s">
        <v>27</v>
      </c>
    </row>
    <row r="45" spans="1:13" x14ac:dyDescent="0.3">
      <c r="A45" t="s">
        <v>152</v>
      </c>
      <c r="B45" s="2">
        <v>41719</v>
      </c>
      <c r="C45" s="2">
        <v>41724</v>
      </c>
      <c r="E45" t="s">
        <v>40</v>
      </c>
      <c r="F45" t="s">
        <v>153</v>
      </c>
      <c r="G45" t="s">
        <v>32</v>
      </c>
      <c r="H45" t="s">
        <v>26</v>
      </c>
      <c r="I45">
        <v>86.45</v>
      </c>
      <c r="J45">
        <v>7</v>
      </c>
      <c r="K45">
        <v>0</v>
      </c>
      <c r="M45" t="s">
        <v>19</v>
      </c>
    </row>
    <row r="46" spans="1:13" x14ac:dyDescent="0.3">
      <c r="A46" t="s">
        <v>154</v>
      </c>
      <c r="B46" s="2">
        <v>41706</v>
      </c>
      <c r="C46" s="2">
        <v>41854</v>
      </c>
      <c r="D46" t="s">
        <v>155</v>
      </c>
      <c r="E46" t="s">
        <v>70</v>
      </c>
      <c r="F46" t="s">
        <v>71</v>
      </c>
      <c r="G46" t="s">
        <v>32</v>
      </c>
      <c r="H46" t="s">
        <v>73</v>
      </c>
      <c r="I46">
        <v>2092.49999999999</v>
      </c>
      <c r="J46">
        <v>5</v>
      </c>
      <c r="K46">
        <v>0.1</v>
      </c>
      <c r="L46">
        <v>720.74999999999898</v>
      </c>
      <c r="M46" t="s">
        <v>27</v>
      </c>
    </row>
    <row r="47" spans="1:13" x14ac:dyDescent="0.3">
      <c r="A47" t="s">
        <v>156</v>
      </c>
      <c r="B47" s="2">
        <v>42244</v>
      </c>
      <c r="C47" s="2">
        <v>42245</v>
      </c>
      <c r="D47" t="s">
        <v>157</v>
      </c>
      <c r="E47" t="s">
        <v>66</v>
      </c>
      <c r="F47" t="s">
        <v>90</v>
      </c>
      <c r="G47" t="s">
        <v>32</v>
      </c>
      <c r="H47" t="s">
        <v>46</v>
      </c>
      <c r="I47">
        <v>2761.2</v>
      </c>
      <c r="J47">
        <v>6</v>
      </c>
      <c r="K47">
        <v>0</v>
      </c>
      <c r="L47">
        <v>110.34</v>
      </c>
      <c r="M47" t="s">
        <v>37</v>
      </c>
    </row>
    <row r="48" spans="1:13" x14ac:dyDescent="0.3">
      <c r="A48" t="s">
        <v>158</v>
      </c>
      <c r="B48" s="2">
        <v>42125</v>
      </c>
      <c r="C48" s="2">
        <v>42125</v>
      </c>
      <c r="D48" t="s">
        <v>159</v>
      </c>
      <c r="E48" t="s">
        <v>114</v>
      </c>
      <c r="F48" t="s">
        <v>115</v>
      </c>
      <c r="G48" t="s">
        <v>17</v>
      </c>
      <c r="H48" t="s">
        <v>23</v>
      </c>
      <c r="I48">
        <v>2174.13</v>
      </c>
      <c r="J48">
        <v>7</v>
      </c>
      <c r="L48">
        <v>500.00999999999902</v>
      </c>
      <c r="M48" t="s">
        <v>27</v>
      </c>
    </row>
    <row r="49" spans="1:13" x14ac:dyDescent="0.3">
      <c r="A49" t="s">
        <v>160</v>
      </c>
      <c r="B49" t="s">
        <v>125</v>
      </c>
      <c r="C49" s="2">
        <v>42358</v>
      </c>
      <c r="D49" t="s">
        <v>161</v>
      </c>
      <c r="E49" t="s">
        <v>162</v>
      </c>
      <c r="F49" t="s">
        <v>61</v>
      </c>
      <c r="G49" t="s">
        <v>32</v>
      </c>
      <c r="H49" t="s">
        <v>23</v>
      </c>
      <c r="I49" t="s">
        <v>163</v>
      </c>
      <c r="J49">
        <v>11</v>
      </c>
      <c r="K49">
        <v>0</v>
      </c>
      <c r="L49">
        <v>868.12</v>
      </c>
      <c r="M49" t="s">
        <v>37</v>
      </c>
    </row>
    <row r="50" spans="1:13" x14ac:dyDescent="0.3">
      <c r="A50" t="s">
        <v>164</v>
      </c>
      <c r="B50" s="2">
        <v>41206</v>
      </c>
      <c r="C50" s="2">
        <v>41209</v>
      </c>
      <c r="D50" t="s">
        <v>110</v>
      </c>
      <c r="E50" t="s">
        <v>40</v>
      </c>
      <c r="F50" t="s">
        <v>43</v>
      </c>
      <c r="G50" t="s">
        <v>165</v>
      </c>
      <c r="H50" t="s">
        <v>127</v>
      </c>
      <c r="I50">
        <v>49.408000000000001</v>
      </c>
      <c r="J50">
        <v>4</v>
      </c>
      <c r="K50">
        <v>0.2</v>
      </c>
      <c r="M50" t="s">
        <v>37</v>
      </c>
    </row>
    <row r="51" spans="1:13" x14ac:dyDescent="0.3">
      <c r="A51" t="s">
        <v>166</v>
      </c>
      <c r="B51" s="2">
        <v>42265</v>
      </c>
      <c r="C51" s="2">
        <v>42268</v>
      </c>
      <c r="D51" t="s">
        <v>167</v>
      </c>
      <c r="E51" t="s">
        <v>168</v>
      </c>
      <c r="F51" t="s">
        <v>169</v>
      </c>
      <c r="G51" t="s">
        <v>17</v>
      </c>
      <c r="H51" t="s">
        <v>23</v>
      </c>
      <c r="I51">
        <v>2108.64</v>
      </c>
      <c r="J51">
        <v>8</v>
      </c>
      <c r="K51">
        <v>0</v>
      </c>
      <c r="L51">
        <v>527.04</v>
      </c>
      <c r="M51" t="s">
        <v>27</v>
      </c>
    </row>
    <row r="52" spans="1:13" x14ac:dyDescent="0.3">
      <c r="A52" t="s">
        <v>135</v>
      </c>
      <c r="B52" s="2">
        <v>41273</v>
      </c>
      <c r="C52" s="2">
        <v>41274</v>
      </c>
      <c r="D52" t="s">
        <v>110</v>
      </c>
      <c r="E52" t="s">
        <v>40</v>
      </c>
      <c r="F52" t="s">
        <v>111</v>
      </c>
      <c r="G52" t="s">
        <v>45</v>
      </c>
      <c r="H52" t="s">
        <v>46</v>
      </c>
      <c r="J52">
        <v>3</v>
      </c>
      <c r="K52">
        <v>0</v>
      </c>
      <c r="L52">
        <v>8.6939999999999902</v>
      </c>
      <c r="M52" t="s">
        <v>37</v>
      </c>
    </row>
    <row r="53" spans="1:13" x14ac:dyDescent="0.3">
      <c r="A53" t="s">
        <v>102</v>
      </c>
      <c r="B53" t="s">
        <v>170</v>
      </c>
      <c r="C53" s="2">
        <v>41262</v>
      </c>
      <c r="D53" t="s">
        <v>103</v>
      </c>
      <c r="E53" t="s">
        <v>104</v>
      </c>
      <c r="F53" t="s">
        <v>90</v>
      </c>
      <c r="G53" t="s">
        <v>32</v>
      </c>
      <c r="H53" t="s">
        <v>33</v>
      </c>
      <c r="J53">
        <v>5</v>
      </c>
      <c r="K53">
        <v>0</v>
      </c>
      <c r="M53" t="s">
        <v>27</v>
      </c>
    </row>
    <row r="54" spans="1:13" x14ac:dyDescent="0.3">
      <c r="A54" t="s">
        <v>171</v>
      </c>
      <c r="B54" s="2">
        <v>41991</v>
      </c>
      <c r="C54" s="2">
        <v>41991</v>
      </c>
      <c r="D54" t="s">
        <v>172</v>
      </c>
      <c r="E54" t="s">
        <v>173</v>
      </c>
      <c r="F54" t="s">
        <v>84</v>
      </c>
      <c r="G54" t="s">
        <v>17</v>
      </c>
      <c r="H54" t="s">
        <v>33</v>
      </c>
      <c r="I54">
        <v>2582.16</v>
      </c>
      <c r="J54">
        <v>4</v>
      </c>
      <c r="K54">
        <v>0</v>
      </c>
      <c r="L54">
        <v>593.88</v>
      </c>
    </row>
    <row r="55" spans="1:13" x14ac:dyDescent="0.3">
      <c r="A55" t="s">
        <v>174</v>
      </c>
      <c r="B55" s="2">
        <v>41424</v>
      </c>
      <c r="C55" s="2">
        <v>41425</v>
      </c>
      <c r="D55" t="s">
        <v>175</v>
      </c>
      <c r="E55" t="s">
        <v>114</v>
      </c>
      <c r="F55" t="s">
        <v>115</v>
      </c>
      <c r="G55" t="s">
        <v>17</v>
      </c>
      <c r="H55" t="s">
        <v>151</v>
      </c>
      <c r="I55">
        <v>1526.52</v>
      </c>
      <c r="J55">
        <v>4</v>
      </c>
      <c r="K55">
        <v>0</v>
      </c>
      <c r="L55">
        <v>732.72</v>
      </c>
      <c r="M55" t="s">
        <v>27</v>
      </c>
    </row>
    <row r="56" spans="1:13" x14ac:dyDescent="0.3">
      <c r="A56" t="s">
        <v>109</v>
      </c>
      <c r="B56" s="2">
        <v>41020</v>
      </c>
      <c r="C56" s="2">
        <v>41022</v>
      </c>
      <c r="D56" t="s">
        <v>110</v>
      </c>
      <c r="E56" t="s">
        <v>40</v>
      </c>
      <c r="F56" t="s">
        <v>176</v>
      </c>
      <c r="H56" t="s">
        <v>26</v>
      </c>
      <c r="I56">
        <v>9.9120000000000008</v>
      </c>
      <c r="J56">
        <v>3</v>
      </c>
      <c r="K56">
        <v>0.2</v>
      </c>
      <c r="M56" t="s">
        <v>27</v>
      </c>
    </row>
    <row r="57" spans="1:13" x14ac:dyDescent="0.3">
      <c r="A57" t="s">
        <v>177</v>
      </c>
      <c r="B57" s="2">
        <v>41419</v>
      </c>
      <c r="C57" s="2">
        <v>41422</v>
      </c>
      <c r="D57" t="s">
        <v>178</v>
      </c>
      <c r="E57" t="s">
        <v>114</v>
      </c>
      <c r="F57" t="s">
        <v>115</v>
      </c>
      <c r="G57" t="s">
        <v>179</v>
      </c>
      <c r="H57" t="s">
        <v>33</v>
      </c>
      <c r="I57">
        <v>1745.34</v>
      </c>
      <c r="J57">
        <v>2</v>
      </c>
      <c r="K57">
        <v>0</v>
      </c>
      <c r="L57">
        <v>226.86</v>
      </c>
      <c r="M57" t="s">
        <v>27</v>
      </c>
    </row>
    <row r="58" spans="1:13" x14ac:dyDescent="0.3">
      <c r="A58" t="s">
        <v>180</v>
      </c>
      <c r="B58" s="2">
        <v>42221</v>
      </c>
      <c r="C58" s="2">
        <v>42222</v>
      </c>
      <c r="D58" t="s">
        <v>181</v>
      </c>
      <c r="E58" t="s">
        <v>15</v>
      </c>
      <c r="F58" t="s">
        <v>16</v>
      </c>
      <c r="G58" t="s">
        <v>45</v>
      </c>
      <c r="H58" t="s">
        <v>33</v>
      </c>
      <c r="I58">
        <v>4191.5069999999996</v>
      </c>
      <c r="J58">
        <v>9</v>
      </c>
      <c r="K58">
        <v>0.1</v>
      </c>
      <c r="L58">
        <v>1164.26699999999</v>
      </c>
      <c r="M58" t="s">
        <v>37</v>
      </c>
    </row>
    <row r="59" spans="1:13" x14ac:dyDescent="0.3">
      <c r="A59" t="s">
        <v>133</v>
      </c>
      <c r="B59" s="2">
        <v>41041</v>
      </c>
      <c r="C59" s="2">
        <v>41047</v>
      </c>
      <c r="D59" t="s">
        <v>110</v>
      </c>
      <c r="E59" t="s">
        <v>40</v>
      </c>
      <c r="F59" t="s">
        <v>43</v>
      </c>
      <c r="G59" t="s">
        <v>165</v>
      </c>
      <c r="H59" t="s">
        <v>44</v>
      </c>
      <c r="I59">
        <v>8</v>
      </c>
      <c r="J59">
        <v>2</v>
      </c>
      <c r="L59">
        <v>3.84</v>
      </c>
      <c r="M59" t="s">
        <v>19</v>
      </c>
    </row>
    <row r="60" spans="1:13" x14ac:dyDescent="0.3">
      <c r="A60" t="s">
        <v>182</v>
      </c>
      <c r="B60" s="2">
        <v>42074</v>
      </c>
      <c r="D60" t="s">
        <v>183</v>
      </c>
      <c r="E60" t="s">
        <v>184</v>
      </c>
      <c r="F60" t="s">
        <v>115</v>
      </c>
      <c r="G60" t="s">
        <v>185</v>
      </c>
      <c r="H60" t="s">
        <v>73</v>
      </c>
      <c r="I60">
        <v>3063.27</v>
      </c>
      <c r="J60">
        <v>7</v>
      </c>
      <c r="K60">
        <v>0</v>
      </c>
      <c r="L60">
        <v>581.91</v>
      </c>
      <c r="M60" t="s">
        <v>37</v>
      </c>
    </row>
    <row r="61" spans="1:13" x14ac:dyDescent="0.3">
      <c r="A61" t="s">
        <v>186</v>
      </c>
      <c r="B61" s="2">
        <v>42357</v>
      </c>
      <c r="C61" s="2">
        <v>42361</v>
      </c>
      <c r="D61" t="s">
        <v>110</v>
      </c>
      <c r="E61" t="s">
        <v>40</v>
      </c>
      <c r="F61" t="s">
        <v>111</v>
      </c>
      <c r="G61" t="s">
        <v>45</v>
      </c>
      <c r="H61" t="s">
        <v>26</v>
      </c>
      <c r="I61">
        <v>18.704000000000001</v>
      </c>
      <c r="J61">
        <v>7</v>
      </c>
      <c r="K61">
        <v>0.2</v>
      </c>
      <c r="L61">
        <v>2.3379999999999899</v>
      </c>
      <c r="M61" t="s">
        <v>19</v>
      </c>
    </row>
    <row r="62" spans="1:13" x14ac:dyDescent="0.3">
      <c r="A62" t="s">
        <v>187</v>
      </c>
      <c r="B62" s="2">
        <v>42227</v>
      </c>
      <c r="C62" s="2">
        <v>42232</v>
      </c>
      <c r="D62" t="s">
        <v>188</v>
      </c>
      <c r="E62" t="s">
        <v>22</v>
      </c>
      <c r="F62" t="s">
        <v>71</v>
      </c>
      <c r="G62" t="s">
        <v>17</v>
      </c>
      <c r="H62" t="s">
        <v>151</v>
      </c>
      <c r="I62">
        <v>4473</v>
      </c>
      <c r="J62">
        <v>7</v>
      </c>
      <c r="K62">
        <v>0</v>
      </c>
      <c r="L62">
        <v>313.11</v>
      </c>
      <c r="M62" t="s">
        <v>19</v>
      </c>
    </row>
    <row r="63" spans="1:13" x14ac:dyDescent="0.3">
      <c r="A63" t="s">
        <v>189</v>
      </c>
      <c r="B63" s="2">
        <v>41882</v>
      </c>
      <c r="C63" s="2">
        <v>41885</v>
      </c>
      <c r="D63" t="s">
        <v>190</v>
      </c>
      <c r="E63" t="s">
        <v>22</v>
      </c>
      <c r="F63" t="s">
        <v>71</v>
      </c>
      <c r="G63" t="s">
        <v>17</v>
      </c>
      <c r="H63" t="s">
        <v>127</v>
      </c>
      <c r="I63">
        <v>1502.01</v>
      </c>
      <c r="J63">
        <v>9</v>
      </c>
      <c r="K63">
        <v>0</v>
      </c>
      <c r="L63">
        <v>225.18</v>
      </c>
      <c r="M63" t="s">
        <v>27</v>
      </c>
    </row>
    <row r="64" spans="1:13" x14ac:dyDescent="0.3">
      <c r="A64" t="s">
        <v>191</v>
      </c>
      <c r="B64" s="2">
        <v>42022</v>
      </c>
      <c r="C64" s="2">
        <v>42027</v>
      </c>
      <c r="D64" t="s">
        <v>192</v>
      </c>
      <c r="E64" t="s">
        <v>66</v>
      </c>
      <c r="F64" t="s">
        <v>90</v>
      </c>
      <c r="G64" t="s">
        <v>32</v>
      </c>
      <c r="H64" t="s">
        <v>26</v>
      </c>
      <c r="I64">
        <v>5048.99999999999</v>
      </c>
      <c r="J64">
        <v>11</v>
      </c>
      <c r="K64">
        <v>0</v>
      </c>
      <c r="L64">
        <v>3799.5593480469101</v>
      </c>
      <c r="M64" t="s">
        <v>37</v>
      </c>
    </row>
    <row r="65" spans="1:13" x14ac:dyDescent="0.3">
      <c r="A65" t="s">
        <v>193</v>
      </c>
      <c r="B65" s="2">
        <v>42007</v>
      </c>
      <c r="D65" t="s">
        <v>194</v>
      </c>
      <c r="E65" t="s">
        <v>40</v>
      </c>
      <c r="F65" t="s">
        <v>153</v>
      </c>
      <c r="G65" t="s">
        <v>17</v>
      </c>
      <c r="H65" t="s">
        <v>26</v>
      </c>
      <c r="I65">
        <v>695.7</v>
      </c>
      <c r="L65">
        <v>-27.8279999999999</v>
      </c>
      <c r="M65" t="s">
        <v>37</v>
      </c>
    </row>
    <row r="66" spans="1:13" x14ac:dyDescent="0.3">
      <c r="A66" t="s">
        <v>195</v>
      </c>
      <c r="B66" s="2">
        <v>42345</v>
      </c>
      <c r="C66" s="2">
        <v>42228</v>
      </c>
      <c r="D66" t="s">
        <v>196</v>
      </c>
      <c r="E66" t="s">
        <v>197</v>
      </c>
      <c r="F66" t="s">
        <v>77</v>
      </c>
      <c r="G66" t="s">
        <v>32</v>
      </c>
      <c r="H66" t="s">
        <v>23</v>
      </c>
      <c r="I66">
        <v>2188.0500000000002</v>
      </c>
      <c r="J66">
        <v>5</v>
      </c>
      <c r="K66">
        <v>0</v>
      </c>
      <c r="L66">
        <v>1050.1500000000001</v>
      </c>
      <c r="M66" t="s">
        <v>37</v>
      </c>
    </row>
    <row r="67" spans="1:13" x14ac:dyDescent="0.3">
      <c r="A67" t="s">
        <v>198</v>
      </c>
      <c r="C67" s="2">
        <v>42357</v>
      </c>
      <c r="D67" t="s">
        <v>199</v>
      </c>
      <c r="E67" t="s">
        <v>114</v>
      </c>
      <c r="F67" t="s">
        <v>115</v>
      </c>
      <c r="G67" t="s">
        <v>32</v>
      </c>
      <c r="H67" t="s">
        <v>73</v>
      </c>
      <c r="I67">
        <v>1920.36</v>
      </c>
      <c r="J67">
        <v>4</v>
      </c>
      <c r="K67">
        <v>0</v>
      </c>
      <c r="L67">
        <v>652.91999999999996</v>
      </c>
      <c r="M67" t="s">
        <v>27</v>
      </c>
    </row>
    <row r="68" spans="1:13" x14ac:dyDescent="0.3">
      <c r="A68" t="s">
        <v>200</v>
      </c>
      <c r="B68" s="2">
        <v>42328</v>
      </c>
      <c r="C68" s="2">
        <v>42328</v>
      </c>
      <c r="D68" t="s">
        <v>201</v>
      </c>
      <c r="E68" t="s">
        <v>97</v>
      </c>
      <c r="F68" t="s">
        <v>98</v>
      </c>
      <c r="G68" t="s">
        <v>17</v>
      </c>
      <c r="H68" t="s">
        <v>151</v>
      </c>
      <c r="I68">
        <v>1704</v>
      </c>
      <c r="J68">
        <v>4</v>
      </c>
      <c r="K68">
        <v>0</v>
      </c>
      <c r="L68">
        <v>119.28</v>
      </c>
      <c r="M68" t="s">
        <v>27</v>
      </c>
    </row>
    <row r="69" spans="1:13" x14ac:dyDescent="0.3">
      <c r="A69" t="s">
        <v>202</v>
      </c>
      <c r="B69" s="2">
        <v>41221</v>
      </c>
      <c r="C69" s="2">
        <v>41223</v>
      </c>
      <c r="D69" t="s">
        <v>203</v>
      </c>
      <c r="E69" t="s">
        <v>204</v>
      </c>
      <c r="F69" t="s">
        <v>205</v>
      </c>
      <c r="G69" t="s">
        <v>32</v>
      </c>
      <c r="H69" t="s">
        <v>44</v>
      </c>
      <c r="I69">
        <v>1858.68</v>
      </c>
      <c r="J69">
        <v>4</v>
      </c>
      <c r="K69">
        <v>0</v>
      </c>
      <c r="M69" t="s">
        <v>27</v>
      </c>
    </row>
    <row r="70" spans="1:13" x14ac:dyDescent="0.3">
      <c r="A70" t="s">
        <v>206</v>
      </c>
      <c r="B70" s="2">
        <v>41826</v>
      </c>
      <c r="C70" s="2">
        <v>41799</v>
      </c>
      <c r="D70" t="s">
        <v>207</v>
      </c>
      <c r="E70" t="s">
        <v>208</v>
      </c>
      <c r="F70" t="s">
        <v>90</v>
      </c>
      <c r="G70" t="s">
        <v>32</v>
      </c>
      <c r="H70" t="s">
        <v>26</v>
      </c>
      <c r="I70">
        <v>3298.2599999999902</v>
      </c>
      <c r="J70">
        <v>7</v>
      </c>
      <c r="K70">
        <v>0</v>
      </c>
      <c r="L70">
        <v>1055.25</v>
      </c>
      <c r="M70" t="s">
        <v>37</v>
      </c>
    </row>
    <row r="71" spans="1:13" x14ac:dyDescent="0.3">
      <c r="A71" t="s">
        <v>209</v>
      </c>
      <c r="B71" s="2">
        <v>41234</v>
      </c>
      <c r="C71" s="2">
        <v>41235</v>
      </c>
      <c r="D71" t="s">
        <v>210</v>
      </c>
      <c r="E71" t="s">
        <v>211</v>
      </c>
      <c r="F71" t="s">
        <v>98</v>
      </c>
      <c r="G71" t="s">
        <v>45</v>
      </c>
      <c r="H71" t="s">
        <v>44</v>
      </c>
      <c r="I71">
        <v>2443.48</v>
      </c>
      <c r="J71">
        <v>13</v>
      </c>
      <c r="K71">
        <v>0</v>
      </c>
      <c r="L71" t="s">
        <v>212</v>
      </c>
      <c r="M71" t="s">
        <v>19</v>
      </c>
    </row>
    <row r="72" spans="1:13" x14ac:dyDescent="0.3">
      <c r="A72" t="s">
        <v>213</v>
      </c>
      <c r="B72" s="2">
        <v>41727</v>
      </c>
      <c r="C72" s="2">
        <v>41729</v>
      </c>
      <c r="D72" t="s">
        <v>214</v>
      </c>
      <c r="E72" t="s">
        <v>130</v>
      </c>
      <c r="F72" t="s">
        <v>131</v>
      </c>
      <c r="G72" t="s">
        <v>32</v>
      </c>
      <c r="H72" t="s">
        <v>23</v>
      </c>
      <c r="J72">
        <v>8</v>
      </c>
      <c r="K72">
        <v>0</v>
      </c>
      <c r="L72">
        <v>1523.52</v>
      </c>
      <c r="M72" t="s">
        <v>37</v>
      </c>
    </row>
    <row r="73" spans="1:13" x14ac:dyDescent="0.3">
      <c r="A73" t="s">
        <v>215</v>
      </c>
      <c r="B73" s="2">
        <v>42242</v>
      </c>
      <c r="C73" s="2">
        <v>42243</v>
      </c>
      <c r="D73" t="s">
        <v>216</v>
      </c>
      <c r="E73" t="s">
        <v>141</v>
      </c>
      <c r="F73" t="s">
        <v>142</v>
      </c>
      <c r="G73" t="s">
        <v>32</v>
      </c>
      <c r="H73" t="s">
        <v>73</v>
      </c>
      <c r="I73">
        <v>3427.1495999999902</v>
      </c>
      <c r="J73">
        <v>7</v>
      </c>
      <c r="L73">
        <v>-452.81039999999899</v>
      </c>
      <c r="M73" t="s">
        <v>37</v>
      </c>
    </row>
    <row r="74" spans="1:13" x14ac:dyDescent="0.3">
      <c r="A74" t="s">
        <v>217</v>
      </c>
      <c r="B74" s="2">
        <v>41537</v>
      </c>
      <c r="C74" s="2">
        <v>41539</v>
      </c>
      <c r="D74" t="s">
        <v>218</v>
      </c>
      <c r="E74" t="s">
        <v>93</v>
      </c>
      <c r="G74" t="s">
        <v>17</v>
      </c>
      <c r="H74" t="s">
        <v>23</v>
      </c>
      <c r="I74">
        <v>3441.69</v>
      </c>
      <c r="K74">
        <v>0.1</v>
      </c>
      <c r="L74">
        <v>38.069999999999901</v>
      </c>
      <c r="M74" t="s">
        <v>37</v>
      </c>
    </row>
    <row r="75" spans="1:13" x14ac:dyDescent="0.3">
      <c r="A75" t="s">
        <v>219</v>
      </c>
      <c r="B75" s="2">
        <v>42140</v>
      </c>
      <c r="C75" s="2">
        <v>42142</v>
      </c>
      <c r="D75" t="s">
        <v>161</v>
      </c>
      <c r="E75" t="s">
        <v>15</v>
      </c>
      <c r="F75" t="s">
        <v>16</v>
      </c>
      <c r="G75" t="s">
        <v>17</v>
      </c>
      <c r="H75" t="s">
        <v>44</v>
      </c>
      <c r="I75">
        <v>2863.35</v>
      </c>
      <c r="J75">
        <v>5</v>
      </c>
      <c r="K75">
        <v>0.1</v>
      </c>
      <c r="L75">
        <v>858.9</v>
      </c>
      <c r="M75" t="s">
        <v>220</v>
      </c>
    </row>
    <row r="76" spans="1:13" x14ac:dyDescent="0.3">
      <c r="B76" s="2">
        <v>42218</v>
      </c>
      <c r="C76" s="2">
        <v>42224</v>
      </c>
      <c r="D76" t="s">
        <v>194</v>
      </c>
      <c r="E76" t="s">
        <v>40</v>
      </c>
      <c r="F76" t="s">
        <v>41</v>
      </c>
      <c r="G76" t="s">
        <v>17</v>
      </c>
      <c r="H76" t="s">
        <v>26</v>
      </c>
      <c r="J76">
        <v>3</v>
      </c>
      <c r="K76">
        <v>0.4</v>
      </c>
      <c r="L76">
        <v>-263.99669999999998</v>
      </c>
      <c r="M76" t="s">
        <v>19</v>
      </c>
    </row>
    <row r="77" spans="1:13" x14ac:dyDescent="0.3">
      <c r="A77" t="s">
        <v>221</v>
      </c>
      <c r="B77" s="2">
        <v>41967</v>
      </c>
      <c r="C77" s="2">
        <v>41968</v>
      </c>
      <c r="D77" t="s">
        <v>222</v>
      </c>
      <c r="F77" t="s">
        <v>71</v>
      </c>
      <c r="G77" t="s">
        <v>223</v>
      </c>
      <c r="H77" t="s">
        <v>26</v>
      </c>
      <c r="I77">
        <v>1487.4</v>
      </c>
      <c r="J77">
        <v>10</v>
      </c>
      <c r="K77">
        <v>0</v>
      </c>
      <c r="L77">
        <v>728.7</v>
      </c>
      <c r="M77" t="s">
        <v>27</v>
      </c>
    </row>
    <row r="78" spans="1:13" x14ac:dyDescent="0.3">
      <c r="A78" t="s">
        <v>224</v>
      </c>
      <c r="B78" s="2">
        <v>41221</v>
      </c>
      <c r="C78" s="2">
        <v>41223</v>
      </c>
      <c r="D78" t="s">
        <v>225</v>
      </c>
      <c r="E78" t="s">
        <v>66</v>
      </c>
      <c r="F78" t="s">
        <v>90</v>
      </c>
      <c r="G78" t="s">
        <v>17</v>
      </c>
      <c r="H78" t="s">
        <v>46</v>
      </c>
      <c r="I78">
        <v>3200.04</v>
      </c>
      <c r="J78">
        <v>9</v>
      </c>
      <c r="K78" t="s">
        <v>226</v>
      </c>
      <c r="L78">
        <v>1183.95</v>
      </c>
      <c r="M78" t="s">
        <v>227</v>
      </c>
    </row>
    <row r="79" spans="1:13" x14ac:dyDescent="0.3">
      <c r="A79" t="s">
        <v>228</v>
      </c>
      <c r="B79" s="2">
        <v>41209</v>
      </c>
      <c r="C79" s="2">
        <v>41209</v>
      </c>
      <c r="D79" t="s">
        <v>229</v>
      </c>
      <c r="E79" t="s">
        <v>114</v>
      </c>
      <c r="F79" t="s">
        <v>115</v>
      </c>
      <c r="H79" t="s">
        <v>33</v>
      </c>
      <c r="I79">
        <v>2300.99999999999</v>
      </c>
      <c r="J79">
        <v>5</v>
      </c>
      <c r="K79">
        <v>0</v>
      </c>
      <c r="L79">
        <v>91.95</v>
      </c>
      <c r="M79" t="s">
        <v>27</v>
      </c>
    </row>
    <row r="80" spans="1:13" x14ac:dyDescent="0.3">
      <c r="B80" s="2">
        <v>42327</v>
      </c>
      <c r="C80" s="2">
        <v>42331</v>
      </c>
      <c r="D80" t="s">
        <v>230</v>
      </c>
      <c r="E80" t="s">
        <v>70</v>
      </c>
      <c r="F80" t="s">
        <v>71</v>
      </c>
      <c r="G80" t="s">
        <v>32</v>
      </c>
      <c r="H80" t="s">
        <v>33</v>
      </c>
      <c r="I80">
        <v>5729.3459999999905</v>
      </c>
      <c r="J80">
        <v>14</v>
      </c>
      <c r="K80">
        <v>0.1</v>
      </c>
      <c r="L80">
        <v>63.546000000000099</v>
      </c>
      <c r="M80" t="s">
        <v>37</v>
      </c>
    </row>
    <row r="81" spans="1:13" x14ac:dyDescent="0.3">
      <c r="A81" t="s">
        <v>231</v>
      </c>
      <c r="B81" s="2">
        <v>42305</v>
      </c>
      <c r="C81" s="2">
        <v>42307</v>
      </c>
      <c r="D81" t="s">
        <v>126</v>
      </c>
      <c r="E81" t="s">
        <v>232</v>
      </c>
      <c r="F81" t="s">
        <v>233</v>
      </c>
      <c r="G81" t="s">
        <v>17</v>
      </c>
      <c r="H81" t="s">
        <v>23</v>
      </c>
      <c r="I81">
        <v>5301.24</v>
      </c>
      <c r="J81">
        <v>14</v>
      </c>
      <c r="K81">
        <v>0</v>
      </c>
      <c r="L81">
        <v>2597.2800000000002</v>
      </c>
      <c r="M81" t="s">
        <v>19</v>
      </c>
    </row>
    <row r="82" spans="1:13" x14ac:dyDescent="0.3">
      <c r="B82" s="2">
        <v>41908</v>
      </c>
      <c r="C82" s="2">
        <v>41910</v>
      </c>
      <c r="D82" t="s">
        <v>194</v>
      </c>
      <c r="E82" t="s">
        <v>40</v>
      </c>
      <c r="F82" t="s">
        <v>43</v>
      </c>
      <c r="G82" t="s">
        <v>32</v>
      </c>
      <c r="H82" t="s">
        <v>23</v>
      </c>
      <c r="I82">
        <v>477.666</v>
      </c>
      <c r="J82">
        <v>2</v>
      </c>
      <c r="K82">
        <v>0.15</v>
      </c>
      <c r="L82">
        <v>84.293999999999897</v>
      </c>
      <c r="M82" t="s">
        <v>27</v>
      </c>
    </row>
    <row r="83" spans="1:13" x14ac:dyDescent="0.3">
      <c r="A83" t="s">
        <v>234</v>
      </c>
      <c r="B83" s="2">
        <v>42252</v>
      </c>
      <c r="C83" s="2">
        <v>42253</v>
      </c>
      <c r="D83" t="s">
        <v>235</v>
      </c>
      <c r="E83" t="s">
        <v>40</v>
      </c>
      <c r="F83" t="s">
        <v>43</v>
      </c>
      <c r="G83" t="s">
        <v>45</v>
      </c>
      <c r="H83" t="s">
        <v>33</v>
      </c>
      <c r="I83">
        <v>88.073999999999998</v>
      </c>
      <c r="J83">
        <v>7</v>
      </c>
      <c r="K83">
        <v>0.7</v>
      </c>
      <c r="L83">
        <v>-58.715999999999902</v>
      </c>
      <c r="M83" t="s">
        <v>37</v>
      </c>
    </row>
    <row r="84" spans="1:13" x14ac:dyDescent="0.3">
      <c r="B84" s="2">
        <v>41668</v>
      </c>
      <c r="C84" s="2">
        <v>41675</v>
      </c>
      <c r="D84" t="s">
        <v>140</v>
      </c>
      <c r="E84" t="s">
        <v>22</v>
      </c>
      <c r="F84" t="s">
        <v>71</v>
      </c>
      <c r="G84" t="s">
        <v>17</v>
      </c>
      <c r="H84" t="s">
        <v>46</v>
      </c>
      <c r="I84">
        <v>3219.9</v>
      </c>
      <c r="J84">
        <v>5</v>
      </c>
      <c r="L84">
        <v>965.85</v>
      </c>
      <c r="M84" t="s">
        <v>74</v>
      </c>
    </row>
    <row r="85" spans="1:13" x14ac:dyDescent="0.3">
      <c r="A85" t="s">
        <v>236</v>
      </c>
      <c r="B85" s="2">
        <v>41535</v>
      </c>
      <c r="C85" s="2">
        <v>41538</v>
      </c>
      <c r="D85" t="s">
        <v>237</v>
      </c>
      <c r="E85" t="s">
        <v>141</v>
      </c>
      <c r="F85" t="s">
        <v>142</v>
      </c>
      <c r="G85" t="s">
        <v>45</v>
      </c>
      <c r="H85" t="s">
        <v>23</v>
      </c>
      <c r="I85">
        <v>2487.8087999999998</v>
      </c>
      <c r="K85">
        <v>0.17</v>
      </c>
      <c r="L85">
        <v>-269.7912</v>
      </c>
      <c r="M85" t="s">
        <v>27</v>
      </c>
    </row>
    <row r="86" spans="1:13" x14ac:dyDescent="0.3">
      <c r="A86" t="s">
        <v>238</v>
      </c>
      <c r="B86" s="2">
        <v>41966</v>
      </c>
      <c r="C86" s="2">
        <v>41966</v>
      </c>
      <c r="D86" t="s">
        <v>239</v>
      </c>
      <c r="E86" t="s">
        <v>232</v>
      </c>
      <c r="F86" t="s">
        <v>233</v>
      </c>
      <c r="G86" t="s">
        <v>45</v>
      </c>
      <c r="H86" t="s">
        <v>26</v>
      </c>
      <c r="I86">
        <v>2266.44</v>
      </c>
      <c r="J86">
        <v>4</v>
      </c>
      <c r="K86">
        <v>0</v>
      </c>
      <c r="L86">
        <v>113.28</v>
      </c>
      <c r="M86" t="s">
        <v>19</v>
      </c>
    </row>
    <row r="87" spans="1:13" x14ac:dyDescent="0.3">
      <c r="B87" s="2">
        <v>41438</v>
      </c>
      <c r="C87" s="2">
        <v>41438</v>
      </c>
      <c r="D87" t="s">
        <v>240</v>
      </c>
      <c r="E87" t="s">
        <v>15</v>
      </c>
      <c r="F87" t="s">
        <v>16</v>
      </c>
      <c r="G87" t="s">
        <v>17</v>
      </c>
      <c r="H87" t="s">
        <v>73</v>
      </c>
      <c r="I87">
        <v>3068.3609999999999</v>
      </c>
      <c r="K87">
        <v>0.1</v>
      </c>
      <c r="L87">
        <v>1124.9009999999901</v>
      </c>
      <c r="M87" t="s">
        <v>37</v>
      </c>
    </row>
    <row r="88" spans="1:13" x14ac:dyDescent="0.3">
      <c r="A88" t="s">
        <v>241</v>
      </c>
      <c r="B88" s="2">
        <v>41940</v>
      </c>
      <c r="C88" s="2">
        <v>41943</v>
      </c>
      <c r="D88" t="s">
        <v>242</v>
      </c>
      <c r="E88" t="s">
        <v>184</v>
      </c>
      <c r="F88" t="s">
        <v>115</v>
      </c>
      <c r="G88" t="s">
        <v>32</v>
      </c>
      <c r="H88" t="s">
        <v>73</v>
      </c>
      <c r="I88">
        <v>3728.4299999999898</v>
      </c>
      <c r="J88">
        <v>9</v>
      </c>
      <c r="K88">
        <v>0</v>
      </c>
      <c r="L88">
        <v>1192.8599999999999</v>
      </c>
      <c r="M88" t="s">
        <v>19</v>
      </c>
    </row>
    <row r="89" spans="1:13" x14ac:dyDescent="0.3">
      <c r="B89" s="2">
        <v>41985</v>
      </c>
      <c r="C89" s="2">
        <v>41987</v>
      </c>
      <c r="E89" t="s">
        <v>66</v>
      </c>
      <c r="F89" t="s">
        <v>90</v>
      </c>
      <c r="G89" t="s">
        <v>17</v>
      </c>
      <c r="H89" t="s">
        <v>33</v>
      </c>
      <c r="I89">
        <v>1581.48</v>
      </c>
      <c r="K89">
        <v>0</v>
      </c>
      <c r="L89">
        <v>0</v>
      </c>
      <c r="M89" t="s">
        <v>37</v>
      </c>
    </row>
    <row r="90" spans="1:13" x14ac:dyDescent="0.3">
      <c r="A90" t="s">
        <v>243</v>
      </c>
      <c r="B90" s="2">
        <v>41419</v>
      </c>
      <c r="C90" s="2">
        <v>41422</v>
      </c>
      <c r="D90" t="s">
        <v>178</v>
      </c>
      <c r="E90" t="s">
        <v>114</v>
      </c>
      <c r="F90" t="s">
        <v>115</v>
      </c>
      <c r="G90" t="s">
        <v>17</v>
      </c>
      <c r="H90" t="s">
        <v>151</v>
      </c>
      <c r="I90">
        <v>1916.73</v>
      </c>
      <c r="J90">
        <v>3</v>
      </c>
      <c r="K90">
        <v>0</v>
      </c>
      <c r="L90">
        <v>498.32999999999902</v>
      </c>
      <c r="M90" t="s">
        <v>27</v>
      </c>
    </row>
    <row r="91" spans="1:13" x14ac:dyDescent="0.3">
      <c r="A91" t="s">
        <v>244</v>
      </c>
      <c r="B91" s="2">
        <v>42281</v>
      </c>
      <c r="C91" s="2">
        <v>42286</v>
      </c>
      <c r="D91" t="s">
        <v>194</v>
      </c>
      <c r="E91" t="s">
        <v>40</v>
      </c>
      <c r="F91" t="s">
        <v>245</v>
      </c>
      <c r="G91" t="s">
        <v>32</v>
      </c>
      <c r="H91" t="s">
        <v>33</v>
      </c>
      <c r="I91">
        <v>171.28800000000001</v>
      </c>
      <c r="J91">
        <v>3</v>
      </c>
      <c r="K91">
        <v>1.4339994914666701</v>
      </c>
      <c r="L91">
        <v>-6.4233000000000198</v>
      </c>
      <c r="M91" t="s">
        <v>19</v>
      </c>
    </row>
    <row r="92" spans="1:13" x14ac:dyDescent="0.3">
      <c r="A92" t="s">
        <v>246</v>
      </c>
      <c r="B92" s="2">
        <v>41975</v>
      </c>
      <c r="D92" t="s">
        <v>247</v>
      </c>
      <c r="E92" t="s">
        <v>70</v>
      </c>
      <c r="F92" t="s">
        <v>71</v>
      </c>
      <c r="G92" t="s">
        <v>45</v>
      </c>
      <c r="H92" t="s">
        <v>26</v>
      </c>
      <c r="I92">
        <v>2432.16</v>
      </c>
      <c r="J92">
        <v>5</v>
      </c>
      <c r="K92">
        <v>0.1</v>
      </c>
      <c r="L92">
        <v>513.36</v>
      </c>
      <c r="M92" t="s">
        <v>27</v>
      </c>
    </row>
    <row r="93" spans="1:13" x14ac:dyDescent="0.3">
      <c r="A93" t="s">
        <v>193</v>
      </c>
      <c r="C93" s="2">
        <v>42009</v>
      </c>
      <c r="E93" t="s">
        <v>40</v>
      </c>
      <c r="F93" t="s">
        <v>153</v>
      </c>
      <c r="G93" t="s">
        <v>45</v>
      </c>
      <c r="H93" t="s">
        <v>44</v>
      </c>
      <c r="I93">
        <v>28.853999999999999</v>
      </c>
      <c r="J93">
        <v>6</v>
      </c>
      <c r="K93">
        <v>0.7</v>
      </c>
      <c r="L93">
        <v>-21.159599999999902</v>
      </c>
      <c r="M93" t="s">
        <v>37</v>
      </c>
    </row>
    <row r="94" spans="1:13" x14ac:dyDescent="0.3">
      <c r="A94" t="s">
        <v>248</v>
      </c>
      <c r="B94" s="2">
        <v>41667</v>
      </c>
      <c r="C94" s="2">
        <v>41669</v>
      </c>
      <c r="D94" t="s">
        <v>249</v>
      </c>
      <c r="E94" t="s">
        <v>250</v>
      </c>
      <c r="F94" t="s">
        <v>142</v>
      </c>
      <c r="G94" t="s">
        <v>32</v>
      </c>
      <c r="H94" t="s">
        <v>73</v>
      </c>
      <c r="I94" t="s">
        <v>163</v>
      </c>
      <c r="J94">
        <v>7</v>
      </c>
      <c r="K94">
        <v>0.25</v>
      </c>
      <c r="L94" t="s">
        <v>251</v>
      </c>
      <c r="M94" t="s">
        <v>37</v>
      </c>
    </row>
    <row r="95" spans="1:13" x14ac:dyDescent="0.3">
      <c r="A95" t="s">
        <v>252</v>
      </c>
      <c r="B95" s="2">
        <v>41401</v>
      </c>
      <c r="C95" s="2">
        <v>41401</v>
      </c>
      <c r="D95" t="s">
        <v>253</v>
      </c>
      <c r="F95" t="s">
        <v>16</v>
      </c>
      <c r="G95" t="s">
        <v>254</v>
      </c>
      <c r="H95" t="s">
        <v>26</v>
      </c>
      <c r="I95">
        <v>1847.51999999999</v>
      </c>
      <c r="J95">
        <v>2</v>
      </c>
      <c r="K95">
        <v>0</v>
      </c>
      <c r="L95">
        <v>738.96</v>
      </c>
      <c r="M95" t="s">
        <v>37</v>
      </c>
    </row>
    <row r="96" spans="1:13" x14ac:dyDescent="0.3">
      <c r="B96" s="2">
        <v>41970</v>
      </c>
      <c r="C96" s="2">
        <v>41972</v>
      </c>
      <c r="D96" t="s">
        <v>255</v>
      </c>
      <c r="E96" t="s">
        <v>256</v>
      </c>
      <c r="F96" t="s">
        <v>71</v>
      </c>
      <c r="G96" t="s">
        <v>32</v>
      </c>
      <c r="H96" t="s">
        <v>23</v>
      </c>
      <c r="I96">
        <v>2899.8899999999899</v>
      </c>
      <c r="J96">
        <v>7</v>
      </c>
      <c r="K96">
        <v>0</v>
      </c>
      <c r="L96">
        <v>927.78</v>
      </c>
      <c r="M96" t="s">
        <v>37</v>
      </c>
    </row>
    <row r="97" spans="1:13" x14ac:dyDescent="0.3">
      <c r="A97" t="s">
        <v>257</v>
      </c>
      <c r="B97" s="2">
        <v>41606</v>
      </c>
      <c r="C97" s="2">
        <v>41610</v>
      </c>
      <c r="D97" t="s">
        <v>247</v>
      </c>
      <c r="E97" t="s">
        <v>15</v>
      </c>
      <c r="F97" t="s">
        <v>16</v>
      </c>
      <c r="G97" t="s">
        <v>32</v>
      </c>
      <c r="H97" t="s">
        <v>44</v>
      </c>
      <c r="I97">
        <v>2891.6999999999898</v>
      </c>
      <c r="J97">
        <v>7</v>
      </c>
      <c r="K97">
        <v>0.1</v>
      </c>
      <c r="L97">
        <v>96.39</v>
      </c>
      <c r="M97" t="s">
        <v>19</v>
      </c>
    </row>
    <row r="98" spans="1:13" x14ac:dyDescent="0.3">
      <c r="A98" t="s">
        <v>258</v>
      </c>
      <c r="B98" s="2">
        <v>41546</v>
      </c>
      <c r="C98" s="2">
        <v>41546</v>
      </c>
      <c r="D98" t="s">
        <v>259</v>
      </c>
      <c r="E98" t="s">
        <v>70</v>
      </c>
      <c r="F98" t="s">
        <v>71</v>
      </c>
      <c r="G98" t="s">
        <v>17</v>
      </c>
      <c r="H98" t="s">
        <v>151</v>
      </c>
      <c r="I98">
        <v>2016.846</v>
      </c>
      <c r="J98">
        <v>9</v>
      </c>
      <c r="K98">
        <v>0.15</v>
      </c>
      <c r="L98">
        <v>-5.4000000000030399E-2</v>
      </c>
      <c r="M98" t="s">
        <v>27</v>
      </c>
    </row>
    <row r="99" spans="1:13" x14ac:dyDescent="0.3">
      <c r="A99" t="s">
        <v>260</v>
      </c>
      <c r="B99" s="3">
        <v>41707</v>
      </c>
      <c r="C99" s="2">
        <v>41887</v>
      </c>
      <c r="D99" t="s">
        <v>261</v>
      </c>
      <c r="E99" t="s">
        <v>70</v>
      </c>
      <c r="F99" t="s">
        <v>71</v>
      </c>
      <c r="G99" t="s">
        <v>45</v>
      </c>
      <c r="H99" t="s">
        <v>23</v>
      </c>
      <c r="I99">
        <v>3155.5439999999999</v>
      </c>
      <c r="J99">
        <v>7</v>
      </c>
      <c r="K99">
        <v>0.1</v>
      </c>
      <c r="L99">
        <v>34.944000000000003</v>
      </c>
      <c r="M99" t="s">
        <v>37</v>
      </c>
    </row>
    <row r="100" spans="1:13" x14ac:dyDescent="0.3">
      <c r="A100" t="s">
        <v>262</v>
      </c>
      <c r="B100" s="2">
        <v>41846</v>
      </c>
      <c r="C100" s="2">
        <v>41852</v>
      </c>
      <c r="D100" t="s">
        <v>263</v>
      </c>
      <c r="E100" t="s">
        <v>130</v>
      </c>
      <c r="F100" t="s">
        <v>264</v>
      </c>
      <c r="G100" t="s">
        <v>17</v>
      </c>
      <c r="H100" t="s">
        <v>127</v>
      </c>
      <c r="I100">
        <v>3856.1399999999899</v>
      </c>
      <c r="J100">
        <v>6</v>
      </c>
      <c r="K100">
        <v>0</v>
      </c>
      <c r="M100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A2CBC-11F4-468F-9B93-071C05F456F1}">
  <dimension ref="A1:R100"/>
  <sheetViews>
    <sheetView tabSelected="1" workbookViewId="0">
      <selection activeCell="R13" sqref="R13"/>
    </sheetView>
  </sheetViews>
  <sheetFormatPr defaultRowHeight="14.4" x14ac:dyDescent="0.3"/>
  <cols>
    <col min="1" max="1" width="25" customWidth="1"/>
    <col min="2" max="2" width="15.6640625" customWidth="1"/>
    <col min="3" max="3" width="15.33203125" customWidth="1"/>
    <col min="4" max="4" width="14.5546875" customWidth="1"/>
    <col min="5" max="5" width="10.77734375" customWidth="1"/>
    <col min="6" max="6" width="13.109375" customWidth="1"/>
    <col min="7" max="7" width="11.109375" customWidth="1"/>
    <col min="8" max="8" width="10.33203125" customWidth="1"/>
    <col min="10" max="10" width="8.5546875" customWidth="1"/>
    <col min="11" max="11" width="8.109375" customWidth="1"/>
    <col min="12" max="12" width="9.77734375" customWidth="1"/>
    <col min="13" max="13" width="7.21875" customWidth="1"/>
    <col min="14" max="14" width="13.21875" customWidth="1"/>
    <col min="15" max="15" width="9.5546875" customWidth="1"/>
    <col min="16" max="16" width="10.33203125" customWidth="1"/>
    <col min="17" max="17" width="8.5546875" customWidth="1"/>
  </cols>
  <sheetData>
    <row r="1" spans="1:1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8" t="s">
        <v>266</v>
      </c>
      <c r="O1" s="8" t="s">
        <v>268</v>
      </c>
      <c r="P1" s="11" t="s">
        <v>267</v>
      </c>
      <c r="R1" s="10" t="s">
        <v>265</v>
      </c>
    </row>
    <row r="2" spans="1:18" x14ac:dyDescent="0.3">
      <c r="A2" t="s">
        <v>13</v>
      </c>
      <c r="B2" s="4">
        <v>41929</v>
      </c>
      <c r="C2" s="2">
        <v>41930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5">
        <v>5175.1710000000003</v>
      </c>
      <c r="J2" s="7">
        <v>9</v>
      </c>
      <c r="K2" s="7">
        <v>0.1</v>
      </c>
      <c r="L2">
        <v>919.97099999999898</v>
      </c>
      <c r="M2" t="s">
        <v>19</v>
      </c>
      <c r="N2" s="7" t="str">
        <f>LEFT(A2,2)</f>
        <v>IN</v>
      </c>
      <c r="O2" s="7" t="str">
        <f t="shared" ref="O2:O33" si="0">MID(A2,4,4)</f>
        <v>2014</v>
      </c>
      <c r="P2" t="str">
        <f t="shared" ref="P2:P33" si="1">RIGHT(A2,5)</f>
        <v>41929</v>
      </c>
    </row>
    <row r="3" spans="1:18" x14ac:dyDescent="0.3">
      <c r="A3" t="s">
        <v>20</v>
      </c>
      <c r="B3" s="4">
        <v>41667</v>
      </c>
      <c r="C3" s="2">
        <v>41669</v>
      </c>
      <c r="D3" t="s">
        <v>21</v>
      </c>
      <c r="E3" t="s">
        <v>22</v>
      </c>
      <c r="G3" t="s">
        <v>17</v>
      </c>
      <c r="H3" t="s">
        <v>23</v>
      </c>
      <c r="I3" s="5">
        <v>2892.5099999999902</v>
      </c>
      <c r="J3" s="7">
        <v>5</v>
      </c>
      <c r="K3" s="7">
        <v>0.1</v>
      </c>
      <c r="L3">
        <v>-96.54</v>
      </c>
      <c r="N3" s="7" t="str">
        <f t="shared" ref="N3:N66" si="2">LEFT(A3,2)</f>
        <v>ES</v>
      </c>
      <c r="O3" s="7" t="str">
        <f t="shared" si="0"/>
        <v>2014</v>
      </c>
      <c r="P3" t="str">
        <f t="shared" si="1"/>
        <v>41667</v>
      </c>
      <c r="R3" t="s">
        <v>269</v>
      </c>
    </row>
    <row r="4" spans="1:18" x14ac:dyDescent="0.3">
      <c r="B4" s="4">
        <v>41948</v>
      </c>
      <c r="C4" s="2">
        <v>41949</v>
      </c>
      <c r="D4" t="s">
        <v>24</v>
      </c>
      <c r="F4" t="s">
        <v>25</v>
      </c>
      <c r="G4" t="s">
        <v>17</v>
      </c>
      <c r="H4" t="s">
        <v>26</v>
      </c>
      <c r="I4" s="5">
        <v>2832.96</v>
      </c>
      <c r="J4" s="7">
        <v>8</v>
      </c>
      <c r="K4" s="7">
        <v>0</v>
      </c>
      <c r="L4">
        <v>311.52</v>
      </c>
      <c r="M4" t="s">
        <v>27</v>
      </c>
      <c r="N4" s="7" t="str">
        <f t="shared" si="2"/>
        <v/>
      </c>
      <c r="O4" s="7" t="str">
        <f t="shared" si="0"/>
        <v/>
      </c>
      <c r="P4" t="str">
        <f t="shared" si="1"/>
        <v/>
      </c>
      <c r="R4" t="s">
        <v>270</v>
      </c>
    </row>
    <row r="5" spans="1:18" x14ac:dyDescent="0.3">
      <c r="A5" t="s">
        <v>28</v>
      </c>
      <c r="B5" s="4">
        <v>41818</v>
      </c>
      <c r="C5" s="2">
        <v>41821</v>
      </c>
      <c r="D5" t="s">
        <v>29</v>
      </c>
      <c r="E5" t="s">
        <v>15</v>
      </c>
      <c r="F5" t="s">
        <v>16</v>
      </c>
      <c r="G5" t="s">
        <v>17</v>
      </c>
      <c r="H5" t="s">
        <v>26</v>
      </c>
      <c r="I5" s="5">
        <v>2862.6750000000002</v>
      </c>
      <c r="J5" s="7">
        <v>5</v>
      </c>
      <c r="K5" s="7">
        <v>0.1</v>
      </c>
      <c r="L5">
        <v>763.27499999999998</v>
      </c>
      <c r="M5" t="s">
        <v>27</v>
      </c>
      <c r="N5" s="7" t="str">
        <f t="shared" si="2"/>
        <v>IN</v>
      </c>
      <c r="O5" s="7" t="str">
        <f t="shared" si="0"/>
        <v>2014</v>
      </c>
      <c r="P5" t="str">
        <f t="shared" si="1"/>
        <v>41818</v>
      </c>
      <c r="R5" t="s">
        <v>271</v>
      </c>
    </row>
    <row r="6" spans="1:18" x14ac:dyDescent="0.3">
      <c r="B6" s="4">
        <v>41219</v>
      </c>
      <c r="C6" s="2">
        <v>41221</v>
      </c>
      <c r="D6" t="s">
        <v>30</v>
      </c>
      <c r="E6" t="s">
        <v>31</v>
      </c>
      <c r="F6" t="s">
        <v>16</v>
      </c>
      <c r="G6" t="s">
        <v>32</v>
      </c>
      <c r="H6" t="s">
        <v>33</v>
      </c>
      <c r="I6" s="5">
        <v>1822.0799999999899</v>
      </c>
      <c r="J6" s="7">
        <v>4</v>
      </c>
      <c r="K6" s="7">
        <v>0</v>
      </c>
      <c r="L6">
        <v>564.84</v>
      </c>
      <c r="M6" t="s">
        <v>27</v>
      </c>
      <c r="N6" s="7" t="str">
        <f t="shared" si="2"/>
        <v/>
      </c>
      <c r="O6" s="7" t="str">
        <f t="shared" si="0"/>
        <v/>
      </c>
      <c r="P6" t="str">
        <f t="shared" si="1"/>
        <v/>
      </c>
    </row>
    <row r="7" spans="1:18" x14ac:dyDescent="0.3">
      <c r="A7" t="s">
        <v>34</v>
      </c>
      <c r="B7" s="5"/>
      <c r="D7" t="s">
        <v>35</v>
      </c>
      <c r="E7" t="s">
        <v>31</v>
      </c>
      <c r="F7" t="s">
        <v>16</v>
      </c>
      <c r="G7" t="s">
        <v>32</v>
      </c>
      <c r="H7" t="s">
        <v>26</v>
      </c>
      <c r="I7" s="5">
        <v>5244.84</v>
      </c>
      <c r="J7" s="7" t="s">
        <v>36</v>
      </c>
      <c r="K7" s="7">
        <v>0</v>
      </c>
      <c r="L7">
        <v>996.479999999999</v>
      </c>
      <c r="M7" t="s">
        <v>37</v>
      </c>
      <c r="N7" s="7" t="str">
        <f t="shared" si="2"/>
        <v>IN</v>
      </c>
      <c r="O7" s="7" t="str">
        <f t="shared" si="0"/>
        <v>2013</v>
      </c>
      <c r="P7" t="str">
        <f t="shared" si="1"/>
        <v>41378</v>
      </c>
    </row>
    <row r="8" spans="1:18" x14ac:dyDescent="0.3">
      <c r="A8" t="s">
        <v>38</v>
      </c>
      <c r="B8" s="4">
        <v>41954</v>
      </c>
      <c r="C8" s="2">
        <v>41956</v>
      </c>
      <c r="D8" t="s">
        <v>39</v>
      </c>
      <c r="E8" t="s">
        <v>40</v>
      </c>
      <c r="F8" t="s">
        <v>41</v>
      </c>
      <c r="G8" t="s">
        <v>32</v>
      </c>
      <c r="H8" t="s">
        <v>23</v>
      </c>
      <c r="I8" s="5">
        <v>341.96</v>
      </c>
      <c r="J8" s="7">
        <v>2</v>
      </c>
      <c r="K8" s="7">
        <v>0</v>
      </c>
      <c r="L8">
        <v>54.7135999999999</v>
      </c>
      <c r="M8" t="s">
        <v>37</v>
      </c>
      <c r="N8" s="7" t="str">
        <f t="shared" si="2"/>
        <v>CA</v>
      </c>
      <c r="O8" s="7" t="str">
        <f t="shared" si="0"/>
        <v>2014</v>
      </c>
      <c r="P8" t="str">
        <f t="shared" si="1"/>
        <v>41954</v>
      </c>
    </row>
    <row r="9" spans="1:18" x14ac:dyDescent="0.3">
      <c r="A9" t="s">
        <v>42</v>
      </c>
      <c r="B9" s="4">
        <v>40974</v>
      </c>
      <c r="C9" s="2">
        <v>40975</v>
      </c>
      <c r="D9" t="s">
        <v>39</v>
      </c>
      <c r="E9" t="s">
        <v>40</v>
      </c>
      <c r="F9" t="s">
        <v>43</v>
      </c>
      <c r="G9" t="s">
        <v>32</v>
      </c>
      <c r="H9" t="s">
        <v>44</v>
      </c>
      <c r="I9" s="5">
        <v>48.712000000000003</v>
      </c>
      <c r="J9" s="7">
        <v>1</v>
      </c>
      <c r="K9" s="7"/>
      <c r="L9">
        <v>5.4800999999999904</v>
      </c>
      <c r="M9" t="s">
        <v>37</v>
      </c>
      <c r="N9" s="7" t="str">
        <f t="shared" si="2"/>
        <v>CA</v>
      </c>
      <c r="O9" s="7" t="str">
        <f t="shared" si="0"/>
        <v>2012</v>
      </c>
      <c r="P9" t="str">
        <f t="shared" si="1"/>
        <v>40974</v>
      </c>
    </row>
    <row r="10" spans="1:18" x14ac:dyDescent="0.3">
      <c r="A10" t="s">
        <v>42</v>
      </c>
      <c r="B10" s="4">
        <v>40974</v>
      </c>
      <c r="C10" s="2">
        <v>40975</v>
      </c>
      <c r="D10" t="s">
        <v>39</v>
      </c>
      <c r="F10" t="s">
        <v>43</v>
      </c>
      <c r="G10" t="s">
        <v>45</v>
      </c>
      <c r="H10" t="s">
        <v>46</v>
      </c>
      <c r="I10" s="5" t="s">
        <v>47</v>
      </c>
      <c r="J10" s="7">
        <v>3</v>
      </c>
      <c r="K10" s="7">
        <v>0</v>
      </c>
      <c r="L10">
        <v>26.647123533229099</v>
      </c>
      <c r="M10" t="s">
        <v>37</v>
      </c>
      <c r="N10" s="7" t="str">
        <f t="shared" si="2"/>
        <v>CA</v>
      </c>
      <c r="O10" s="7" t="str">
        <f t="shared" si="0"/>
        <v>2012</v>
      </c>
      <c r="P10" t="str">
        <f t="shared" si="1"/>
        <v>40974</v>
      </c>
    </row>
    <row r="11" spans="1:18" x14ac:dyDescent="0.3">
      <c r="A11" t="s">
        <v>48</v>
      </c>
      <c r="B11" s="4">
        <v>41383</v>
      </c>
      <c r="C11" t="s">
        <v>49</v>
      </c>
      <c r="D11" t="s">
        <v>50</v>
      </c>
      <c r="E11" t="s">
        <v>51</v>
      </c>
      <c r="F11" t="s">
        <v>52</v>
      </c>
      <c r="G11" t="s">
        <v>32</v>
      </c>
      <c r="H11" t="s">
        <v>44</v>
      </c>
      <c r="I11" s="5">
        <v>4626.1499999999996</v>
      </c>
      <c r="J11" s="7">
        <v>5</v>
      </c>
      <c r="K11" s="7">
        <v>0</v>
      </c>
      <c r="M11" t="s">
        <v>37</v>
      </c>
      <c r="N11" s="7" t="str">
        <f t="shared" si="2"/>
        <v>ID</v>
      </c>
      <c r="O11" s="7" t="str">
        <f t="shared" si="0"/>
        <v>2013</v>
      </c>
      <c r="P11" t="str">
        <f t="shared" si="1"/>
        <v>41383</v>
      </c>
    </row>
    <row r="12" spans="1:18" x14ac:dyDescent="0.3">
      <c r="A12" t="s">
        <v>53</v>
      </c>
      <c r="B12" s="4">
        <v>41269</v>
      </c>
      <c r="D12" t="s">
        <v>54</v>
      </c>
      <c r="E12" t="s">
        <v>55</v>
      </c>
      <c r="F12" t="s">
        <v>56</v>
      </c>
      <c r="G12" t="s">
        <v>17</v>
      </c>
      <c r="H12" t="s">
        <v>57</v>
      </c>
      <c r="I12" s="5">
        <v>2616.96</v>
      </c>
      <c r="J12" s="7">
        <v>4</v>
      </c>
      <c r="K12" s="7">
        <v>0</v>
      </c>
      <c r="L12">
        <v>1151.4000000000001</v>
      </c>
      <c r="M12" t="s">
        <v>27</v>
      </c>
      <c r="N12" s="7" t="str">
        <f t="shared" si="2"/>
        <v>SA</v>
      </c>
      <c r="O12" s="7" t="str">
        <f t="shared" si="0"/>
        <v>2012</v>
      </c>
      <c r="P12" t="str">
        <f t="shared" si="1"/>
        <v>41269</v>
      </c>
    </row>
    <row r="13" spans="1:18" x14ac:dyDescent="0.3">
      <c r="A13" t="s">
        <v>58</v>
      </c>
      <c r="B13" s="4">
        <v>41591</v>
      </c>
      <c r="C13" s="2">
        <v>41591</v>
      </c>
      <c r="D13" t="s">
        <v>59</v>
      </c>
      <c r="E13" t="s">
        <v>60</v>
      </c>
      <c r="F13" t="s">
        <v>61</v>
      </c>
      <c r="G13" t="s">
        <v>32</v>
      </c>
      <c r="H13" t="s">
        <v>44</v>
      </c>
      <c r="I13" s="5" t="s">
        <v>62</v>
      </c>
      <c r="J13" s="7" t="s">
        <v>63</v>
      </c>
      <c r="K13" s="7">
        <v>0</v>
      </c>
      <c r="L13">
        <v>622.02</v>
      </c>
      <c r="M13" t="s">
        <v>27</v>
      </c>
      <c r="N13" s="7" t="str">
        <f t="shared" si="2"/>
        <v>MX</v>
      </c>
      <c r="O13" s="7" t="str">
        <f t="shared" si="0"/>
        <v>2013</v>
      </c>
      <c r="P13" t="str">
        <f t="shared" si="1"/>
        <v>41591</v>
      </c>
    </row>
    <row r="14" spans="1:18" x14ac:dyDescent="0.3">
      <c r="A14" t="s">
        <v>64</v>
      </c>
      <c r="B14" s="4">
        <v>41796</v>
      </c>
      <c r="C14" s="2">
        <v>41798</v>
      </c>
      <c r="D14" t="s">
        <v>65</v>
      </c>
      <c r="E14" t="s">
        <v>66</v>
      </c>
      <c r="F14" t="s">
        <v>67</v>
      </c>
      <c r="G14" t="s">
        <v>45</v>
      </c>
      <c r="H14" t="s">
        <v>26</v>
      </c>
      <c r="I14" s="5">
        <v>3701.51999999999</v>
      </c>
      <c r="J14" s="7">
        <v>12</v>
      </c>
      <c r="K14" s="7">
        <v>0</v>
      </c>
      <c r="L14">
        <v>1036.08</v>
      </c>
      <c r="M14" t="s">
        <v>27</v>
      </c>
      <c r="N14" s="7" t="str">
        <f t="shared" si="2"/>
        <v>IN</v>
      </c>
      <c r="O14" s="7" t="str">
        <f t="shared" si="0"/>
        <v>2014</v>
      </c>
      <c r="P14" t="str">
        <f t="shared" si="1"/>
        <v>41796</v>
      </c>
    </row>
    <row r="15" spans="1:18" x14ac:dyDescent="0.3">
      <c r="A15" t="s">
        <v>68</v>
      </c>
      <c r="B15" s="4">
        <v>42216</v>
      </c>
      <c r="C15" s="2">
        <v>42219</v>
      </c>
      <c r="D15" t="s">
        <v>69</v>
      </c>
      <c r="E15" t="s">
        <v>70</v>
      </c>
      <c r="F15" t="s">
        <v>71</v>
      </c>
      <c r="G15" t="s">
        <v>45</v>
      </c>
      <c r="H15" t="s">
        <v>23</v>
      </c>
      <c r="I15" s="5">
        <v>1869.58799999999</v>
      </c>
      <c r="J15" s="7">
        <v>4</v>
      </c>
      <c r="K15" s="7">
        <v>0.1</v>
      </c>
      <c r="M15" t="s">
        <v>27</v>
      </c>
      <c r="N15" s="7" t="str">
        <f t="shared" si="2"/>
        <v>ES</v>
      </c>
      <c r="O15" s="7" t="str">
        <f t="shared" si="0"/>
        <v>2015</v>
      </c>
      <c r="P15" t="str">
        <f t="shared" si="1"/>
        <v>42216</v>
      </c>
    </row>
    <row r="16" spans="1:18" x14ac:dyDescent="0.3">
      <c r="A16" t="s">
        <v>72</v>
      </c>
      <c r="B16" s="4">
        <v>40958</v>
      </c>
      <c r="C16" s="2">
        <v>40964</v>
      </c>
      <c r="D16" t="s">
        <v>39</v>
      </c>
      <c r="E16" t="s">
        <v>40</v>
      </c>
      <c r="F16" t="s">
        <v>41</v>
      </c>
      <c r="G16" t="s">
        <v>45</v>
      </c>
      <c r="H16" t="s">
        <v>73</v>
      </c>
      <c r="I16" s="5">
        <v>12.624000000000001</v>
      </c>
      <c r="J16" s="7">
        <v>2</v>
      </c>
      <c r="K16" s="7">
        <v>0.2</v>
      </c>
      <c r="L16">
        <v>-2.5247999999999999</v>
      </c>
      <c r="M16" t="s">
        <v>74</v>
      </c>
      <c r="N16" s="7" t="str">
        <f t="shared" si="2"/>
        <v>CA</v>
      </c>
      <c r="O16" s="7" t="str">
        <f t="shared" si="0"/>
        <v>2012</v>
      </c>
      <c r="P16" t="str">
        <f t="shared" si="1"/>
        <v>40958</v>
      </c>
    </row>
    <row r="17" spans="1:16" x14ac:dyDescent="0.3">
      <c r="A17" t="s">
        <v>75</v>
      </c>
      <c r="B17" s="4">
        <v>42255</v>
      </c>
      <c r="C17" s="2">
        <v>42261</v>
      </c>
      <c r="E17" t="s">
        <v>76</v>
      </c>
      <c r="F17" t="s">
        <v>77</v>
      </c>
      <c r="G17" t="s">
        <v>45</v>
      </c>
      <c r="H17" t="s">
        <v>73</v>
      </c>
      <c r="I17" s="5" t="s">
        <v>78</v>
      </c>
      <c r="J17" s="7">
        <v>14</v>
      </c>
      <c r="K17" s="7">
        <v>0</v>
      </c>
      <c r="L17">
        <v>3979.0799999999899</v>
      </c>
      <c r="M17" t="s">
        <v>74</v>
      </c>
      <c r="N17" s="7" t="str">
        <f t="shared" si="2"/>
        <v>ES</v>
      </c>
      <c r="O17" s="7" t="str">
        <f t="shared" si="0"/>
        <v>2015</v>
      </c>
      <c r="P17" t="str">
        <f t="shared" si="1"/>
        <v>42255</v>
      </c>
    </row>
    <row r="18" spans="1:16" x14ac:dyDescent="0.3">
      <c r="A18" t="s">
        <v>79</v>
      </c>
      <c r="B18" s="4">
        <v>42035</v>
      </c>
      <c r="C18" s="2">
        <v>42036</v>
      </c>
      <c r="D18" t="s">
        <v>80</v>
      </c>
      <c r="E18" t="s">
        <v>15</v>
      </c>
      <c r="F18" t="s">
        <v>16</v>
      </c>
      <c r="H18" t="s">
        <v>18</v>
      </c>
      <c r="I18" s="5">
        <v>2565.5940000000001</v>
      </c>
      <c r="J18" s="7">
        <v>9</v>
      </c>
      <c r="K18" s="7"/>
      <c r="M18" t="s">
        <v>27</v>
      </c>
      <c r="N18" s="7" t="str">
        <f t="shared" si="2"/>
        <v>IN</v>
      </c>
      <c r="O18" s="7" t="str">
        <f t="shared" si="0"/>
        <v>2015</v>
      </c>
      <c r="P18" t="str">
        <f t="shared" si="1"/>
        <v>42035</v>
      </c>
    </row>
    <row r="19" spans="1:16" x14ac:dyDescent="0.3">
      <c r="A19" t="s">
        <v>81</v>
      </c>
      <c r="B19" s="4">
        <v>42343</v>
      </c>
      <c r="C19" s="2">
        <v>42345</v>
      </c>
      <c r="D19" t="s">
        <v>82</v>
      </c>
      <c r="E19" t="s">
        <v>83</v>
      </c>
      <c r="F19" t="s">
        <v>84</v>
      </c>
      <c r="G19" t="s">
        <v>45</v>
      </c>
      <c r="H19" t="s">
        <v>73</v>
      </c>
      <c r="I19" s="5">
        <v>3409.74</v>
      </c>
      <c r="J19" s="7">
        <v>6</v>
      </c>
      <c r="K19" s="7">
        <v>0</v>
      </c>
      <c r="L19">
        <v>818.28</v>
      </c>
      <c r="M19" t="s">
        <v>37</v>
      </c>
      <c r="N19" s="7" t="str">
        <f t="shared" si="2"/>
        <v>TZ</v>
      </c>
      <c r="O19" s="7" t="str">
        <f t="shared" si="0"/>
        <v>2015</v>
      </c>
      <c r="P19" t="str">
        <f t="shared" si="1"/>
        <v>42343</v>
      </c>
    </row>
    <row r="20" spans="1:16" x14ac:dyDescent="0.3">
      <c r="A20" t="s">
        <v>85</v>
      </c>
      <c r="B20" s="4">
        <v>41494</v>
      </c>
      <c r="C20" s="2">
        <v>41496</v>
      </c>
      <c r="D20" t="s">
        <v>86</v>
      </c>
      <c r="F20" t="s">
        <v>87</v>
      </c>
      <c r="G20" t="s">
        <v>32</v>
      </c>
      <c r="H20" t="s">
        <v>33</v>
      </c>
      <c r="I20" s="5">
        <v>1977.71999999999</v>
      </c>
      <c r="J20" s="7">
        <v>4</v>
      </c>
      <c r="K20" s="7">
        <v>0</v>
      </c>
      <c r="L20">
        <v>276.83999999999997</v>
      </c>
      <c r="M20" t="s">
        <v>27</v>
      </c>
      <c r="N20" s="7" t="str">
        <f t="shared" si="2"/>
        <v>PL</v>
      </c>
      <c r="O20" s="7" t="str">
        <f t="shared" si="0"/>
        <v>2013</v>
      </c>
      <c r="P20" t="str">
        <f t="shared" si="1"/>
        <v>41494</v>
      </c>
    </row>
    <row r="21" spans="1:16" x14ac:dyDescent="0.3">
      <c r="A21" t="s">
        <v>42</v>
      </c>
      <c r="B21" s="4">
        <v>40974</v>
      </c>
      <c r="C21" s="2">
        <v>40975</v>
      </c>
      <c r="D21" t="s">
        <v>39</v>
      </c>
      <c r="E21" t="s">
        <v>40</v>
      </c>
      <c r="F21" t="s">
        <v>43</v>
      </c>
      <c r="G21" t="s">
        <v>45</v>
      </c>
      <c r="H21" t="s">
        <v>73</v>
      </c>
      <c r="I21" s="5">
        <v>242.94</v>
      </c>
      <c r="J21" s="7">
        <v>3</v>
      </c>
      <c r="K21" s="7">
        <v>0</v>
      </c>
      <c r="L21">
        <v>4.8588000000000102</v>
      </c>
      <c r="M21" t="s">
        <v>37</v>
      </c>
      <c r="N21" s="7" t="str">
        <f t="shared" si="2"/>
        <v>CA</v>
      </c>
      <c r="O21" s="7" t="str">
        <f t="shared" si="0"/>
        <v>2012</v>
      </c>
      <c r="P21" t="str">
        <f t="shared" si="1"/>
        <v>40974</v>
      </c>
    </row>
    <row r="22" spans="1:16" x14ac:dyDescent="0.3">
      <c r="A22" t="s">
        <v>88</v>
      </c>
      <c r="B22" s="4">
        <v>41030</v>
      </c>
      <c r="C22" s="2">
        <v>41031</v>
      </c>
      <c r="D22" t="s">
        <v>89</v>
      </c>
      <c r="E22" t="s">
        <v>66</v>
      </c>
      <c r="F22" t="s">
        <v>90</v>
      </c>
      <c r="G22" t="s">
        <v>32</v>
      </c>
      <c r="H22" t="s">
        <v>44</v>
      </c>
      <c r="I22" s="5">
        <v>2753.99999999999</v>
      </c>
      <c r="J22" s="7">
        <v>6</v>
      </c>
      <c r="K22" s="7">
        <v>0</v>
      </c>
      <c r="L22">
        <v>358.02</v>
      </c>
      <c r="M22" t="s">
        <v>27</v>
      </c>
      <c r="N22" s="7" t="str">
        <f t="shared" si="2"/>
        <v>IN</v>
      </c>
      <c r="O22" s="7" t="str">
        <f t="shared" si="0"/>
        <v>2012</v>
      </c>
      <c r="P22" t="str">
        <f t="shared" si="1"/>
        <v>41030</v>
      </c>
    </row>
    <row r="23" spans="1:16" x14ac:dyDescent="0.3">
      <c r="A23" t="s">
        <v>91</v>
      </c>
      <c r="B23" s="4">
        <v>41697</v>
      </c>
      <c r="C23" s="2">
        <v>41699</v>
      </c>
      <c r="D23" t="s">
        <v>92</v>
      </c>
      <c r="E23" t="s">
        <v>93</v>
      </c>
      <c r="F23" t="s">
        <v>94</v>
      </c>
      <c r="G23" t="s">
        <v>45</v>
      </c>
      <c r="H23" t="s">
        <v>26</v>
      </c>
      <c r="I23" s="5">
        <v>5273.7</v>
      </c>
      <c r="J23" s="7">
        <v>10</v>
      </c>
      <c r="K23" s="7"/>
      <c r="L23">
        <v>1898.4</v>
      </c>
      <c r="M23" t="s">
        <v>37</v>
      </c>
      <c r="N23" s="7" t="str">
        <f t="shared" si="2"/>
        <v>ES</v>
      </c>
      <c r="O23" s="7" t="str">
        <f t="shared" si="0"/>
        <v>2014</v>
      </c>
      <c r="P23" t="str">
        <f t="shared" si="1"/>
        <v>41697</v>
      </c>
    </row>
    <row r="24" spans="1:16" x14ac:dyDescent="0.3">
      <c r="A24" t="s">
        <v>95</v>
      </c>
      <c r="B24" s="4">
        <v>42216</v>
      </c>
      <c r="C24" s="2">
        <v>42217</v>
      </c>
      <c r="D24" t="s">
        <v>96</v>
      </c>
      <c r="E24" t="s">
        <v>97</v>
      </c>
      <c r="F24" t="s">
        <v>98</v>
      </c>
      <c r="G24" t="s">
        <v>17</v>
      </c>
      <c r="H24" t="s">
        <v>23</v>
      </c>
      <c r="I24" s="5">
        <v>1713.84</v>
      </c>
      <c r="J24" s="7">
        <v>4</v>
      </c>
      <c r="K24" s="7">
        <v>0</v>
      </c>
      <c r="L24">
        <v>445.52</v>
      </c>
      <c r="M24" t="s">
        <v>27</v>
      </c>
      <c r="N24" s="7" t="str">
        <f t="shared" si="2"/>
        <v>US</v>
      </c>
      <c r="O24" s="7" t="str">
        <f t="shared" si="0"/>
        <v>2015</v>
      </c>
      <c r="P24" t="str">
        <f t="shared" si="1"/>
        <v>42216</v>
      </c>
    </row>
    <row r="25" spans="1:16" x14ac:dyDescent="0.3">
      <c r="A25" t="s">
        <v>99</v>
      </c>
      <c r="B25" s="4">
        <v>42252</v>
      </c>
      <c r="C25" s="2">
        <v>42255</v>
      </c>
      <c r="D25" t="s">
        <v>100</v>
      </c>
      <c r="E25" t="s">
        <v>101</v>
      </c>
      <c r="F25" t="s">
        <v>98</v>
      </c>
      <c r="G25" t="s">
        <v>32</v>
      </c>
      <c r="H25" t="s">
        <v>73</v>
      </c>
      <c r="I25" s="5">
        <v>2106.4960000000001</v>
      </c>
      <c r="J25" s="7">
        <v>8</v>
      </c>
      <c r="K25" s="7">
        <v>0.2</v>
      </c>
      <c r="L25">
        <v>526.49599999999998</v>
      </c>
      <c r="M25" t="s">
        <v>27</v>
      </c>
      <c r="N25" s="7" t="str">
        <f t="shared" si="2"/>
        <v>MX</v>
      </c>
      <c r="O25" s="7" t="str">
        <f t="shared" si="0"/>
        <v>2015</v>
      </c>
      <c r="P25" t="str">
        <f t="shared" si="1"/>
        <v>42252</v>
      </c>
    </row>
    <row r="26" spans="1:16" x14ac:dyDescent="0.3">
      <c r="A26" t="s">
        <v>102</v>
      </c>
      <c r="B26" s="4">
        <v>41259</v>
      </c>
      <c r="C26" s="2">
        <v>41262</v>
      </c>
      <c r="D26" t="s">
        <v>103</v>
      </c>
      <c r="E26" t="s">
        <v>104</v>
      </c>
      <c r="F26" t="s">
        <v>90</v>
      </c>
      <c r="G26" t="s">
        <v>32</v>
      </c>
      <c r="H26" t="s">
        <v>26</v>
      </c>
      <c r="I26" s="5">
        <v>1715.1599999999901</v>
      </c>
      <c r="J26" s="7"/>
      <c r="K26" s="7">
        <v>0</v>
      </c>
      <c r="L26">
        <v>720.36</v>
      </c>
      <c r="M26" t="s">
        <v>27</v>
      </c>
      <c r="N26" s="7" t="str">
        <f t="shared" si="2"/>
        <v>IN</v>
      </c>
      <c r="O26" s="7" t="str">
        <f t="shared" si="0"/>
        <v>2012</v>
      </c>
      <c r="P26" t="str">
        <f t="shared" si="1"/>
        <v>41259</v>
      </c>
    </row>
    <row r="27" spans="1:16" x14ac:dyDescent="0.3">
      <c r="A27" t="s">
        <v>105</v>
      </c>
      <c r="B27" s="5"/>
      <c r="C27" s="2">
        <v>40984</v>
      </c>
      <c r="D27" t="s">
        <v>106</v>
      </c>
      <c r="E27" t="s">
        <v>22</v>
      </c>
      <c r="F27" t="s">
        <v>107</v>
      </c>
      <c r="G27" t="s">
        <v>108</v>
      </c>
      <c r="H27" t="s">
        <v>44</v>
      </c>
      <c r="I27" s="5">
        <v>3069.7379999999998</v>
      </c>
      <c r="J27" s="7">
        <v>6</v>
      </c>
      <c r="K27" s="7">
        <v>0.1</v>
      </c>
      <c r="L27">
        <v>1364.2379999999901</v>
      </c>
      <c r="M27" t="s">
        <v>27</v>
      </c>
      <c r="N27" s="7" t="str">
        <f t="shared" si="2"/>
        <v>ES</v>
      </c>
      <c r="O27" s="7" t="str">
        <f t="shared" si="0"/>
        <v>2012</v>
      </c>
      <c r="P27" t="str">
        <f t="shared" si="1"/>
        <v>40981</v>
      </c>
    </row>
    <row r="28" spans="1:16" x14ac:dyDescent="0.3">
      <c r="A28" t="s">
        <v>109</v>
      </c>
      <c r="B28" s="4">
        <v>41020</v>
      </c>
      <c r="C28" s="2">
        <v>41022</v>
      </c>
      <c r="D28" t="s">
        <v>110</v>
      </c>
      <c r="E28" t="s">
        <v>40</v>
      </c>
      <c r="F28" t="s">
        <v>111</v>
      </c>
      <c r="G28" t="s">
        <v>45</v>
      </c>
      <c r="H28" t="s">
        <v>44</v>
      </c>
      <c r="I28" s="5">
        <v>247.84</v>
      </c>
      <c r="J28" s="7">
        <v>8</v>
      </c>
      <c r="K28" s="7">
        <v>0</v>
      </c>
      <c r="L28">
        <v>121.44159999999999</v>
      </c>
      <c r="M28" t="s">
        <v>27</v>
      </c>
      <c r="N28" s="7" t="str">
        <f t="shared" si="2"/>
        <v>CA</v>
      </c>
      <c r="O28" s="7" t="str">
        <f t="shared" si="0"/>
        <v>2012</v>
      </c>
      <c r="P28" t="str">
        <f t="shared" si="1"/>
        <v>41020</v>
      </c>
    </row>
    <row r="29" spans="1:16" x14ac:dyDescent="0.3">
      <c r="A29" t="s">
        <v>112</v>
      </c>
      <c r="B29" s="4">
        <v>41329</v>
      </c>
      <c r="C29" s="2">
        <v>41329</v>
      </c>
      <c r="D29" t="s">
        <v>113</v>
      </c>
      <c r="E29" t="s">
        <v>114</v>
      </c>
      <c r="F29" t="s">
        <v>115</v>
      </c>
      <c r="G29" t="s">
        <v>32</v>
      </c>
      <c r="H29" t="s">
        <v>73</v>
      </c>
      <c r="I29" s="5">
        <v>1878.71999999999</v>
      </c>
      <c r="J29" s="7">
        <v>4</v>
      </c>
      <c r="K29" s="7"/>
      <c r="L29">
        <v>582.36</v>
      </c>
      <c r="M29" t="s">
        <v>27</v>
      </c>
      <c r="N29" s="7" t="str">
        <f t="shared" si="2"/>
        <v>IN</v>
      </c>
      <c r="O29" s="7" t="str">
        <f t="shared" si="0"/>
        <v>2013</v>
      </c>
      <c r="P29" t="str">
        <f t="shared" si="1"/>
        <v>41329</v>
      </c>
    </row>
    <row r="30" spans="1:16" x14ac:dyDescent="0.3">
      <c r="A30" t="s">
        <v>116</v>
      </c>
      <c r="B30" s="4">
        <v>41270</v>
      </c>
      <c r="C30" t="s">
        <v>117</v>
      </c>
      <c r="D30" t="s">
        <v>118</v>
      </c>
      <c r="E30" t="s">
        <v>119</v>
      </c>
      <c r="F30" t="s">
        <v>120</v>
      </c>
      <c r="G30" t="s">
        <v>17</v>
      </c>
      <c r="H30" t="s">
        <v>26</v>
      </c>
      <c r="I30" s="5">
        <v>1696.64</v>
      </c>
      <c r="J30" s="7">
        <v>5</v>
      </c>
      <c r="K30" s="7"/>
      <c r="L30">
        <v>-148.46</v>
      </c>
      <c r="M30" t="s">
        <v>27</v>
      </c>
      <c r="N30" s="7" t="str">
        <f t="shared" si="2"/>
        <v>US</v>
      </c>
      <c r="O30" s="7" t="str">
        <f t="shared" si="0"/>
        <v>2012</v>
      </c>
      <c r="P30" t="str">
        <f t="shared" si="1"/>
        <v>41270</v>
      </c>
    </row>
    <row r="31" spans="1:16" x14ac:dyDescent="0.3">
      <c r="A31" t="s">
        <v>121</v>
      </c>
      <c r="B31" s="4">
        <v>41472</v>
      </c>
      <c r="C31" s="2">
        <v>41474</v>
      </c>
      <c r="D31" t="s">
        <v>122</v>
      </c>
      <c r="E31" t="s">
        <v>70</v>
      </c>
      <c r="F31" t="s">
        <v>71</v>
      </c>
      <c r="G31" t="s">
        <v>17</v>
      </c>
      <c r="H31" t="s">
        <v>23</v>
      </c>
      <c r="I31" s="5">
        <v>2402.8649999999998</v>
      </c>
      <c r="J31" s="7">
        <v>9</v>
      </c>
      <c r="K31" s="7">
        <v>0.15</v>
      </c>
      <c r="L31">
        <v>763.15499999999997</v>
      </c>
      <c r="M31" t="s">
        <v>27</v>
      </c>
      <c r="N31" s="7" t="str">
        <f t="shared" si="2"/>
        <v>ES</v>
      </c>
      <c r="O31" s="7" t="str">
        <f t="shared" si="0"/>
        <v>2013</v>
      </c>
      <c r="P31" t="str">
        <f t="shared" si="1"/>
        <v>41472</v>
      </c>
    </row>
    <row r="32" spans="1:16" x14ac:dyDescent="0.3">
      <c r="A32" t="s">
        <v>123</v>
      </c>
      <c r="B32" s="4">
        <v>41635</v>
      </c>
      <c r="C32" s="2">
        <v>41639</v>
      </c>
      <c r="D32" t="s">
        <v>110</v>
      </c>
      <c r="E32" t="s">
        <v>40</v>
      </c>
      <c r="F32" t="s">
        <v>43</v>
      </c>
      <c r="G32" t="s">
        <v>17</v>
      </c>
      <c r="H32" t="s">
        <v>26</v>
      </c>
      <c r="I32" s="5">
        <v>668.16</v>
      </c>
      <c r="J32" s="7">
        <v>9</v>
      </c>
      <c r="K32" s="7">
        <v>0.2</v>
      </c>
      <c r="L32">
        <v>75.167999999999907</v>
      </c>
      <c r="M32" t="s">
        <v>19</v>
      </c>
      <c r="N32" s="7" t="str">
        <f t="shared" si="2"/>
        <v>CA</v>
      </c>
      <c r="O32" s="7" t="str">
        <f t="shared" si="0"/>
        <v>2013</v>
      </c>
      <c r="P32" t="str">
        <f t="shared" si="1"/>
        <v>41635</v>
      </c>
    </row>
    <row r="33" spans="1:16" x14ac:dyDescent="0.3">
      <c r="A33" t="s">
        <v>124</v>
      </c>
      <c r="B33" s="5" t="s">
        <v>125</v>
      </c>
      <c r="C33" s="2">
        <v>41217</v>
      </c>
      <c r="D33" t="s">
        <v>126</v>
      </c>
      <c r="E33" t="s">
        <v>15</v>
      </c>
      <c r="F33" t="s">
        <v>16</v>
      </c>
      <c r="G33" t="s">
        <v>45</v>
      </c>
      <c r="H33" t="s">
        <v>127</v>
      </c>
      <c r="I33" s="5">
        <v>2526.9299999999998</v>
      </c>
      <c r="J33" s="7">
        <v>5</v>
      </c>
      <c r="K33" s="7">
        <v>0.1</v>
      </c>
      <c r="L33">
        <v>561.48</v>
      </c>
      <c r="M33" t="s">
        <v>27</v>
      </c>
      <c r="N33" s="7" t="str">
        <f t="shared" si="2"/>
        <v>IN</v>
      </c>
      <c r="O33" s="7" t="str">
        <f t="shared" si="0"/>
        <v>2012</v>
      </c>
      <c r="P33" t="str">
        <f t="shared" si="1"/>
        <v>41215</v>
      </c>
    </row>
    <row r="34" spans="1:16" x14ac:dyDescent="0.3">
      <c r="A34" t="s">
        <v>128</v>
      </c>
      <c r="B34" s="4">
        <v>41635</v>
      </c>
      <c r="C34" s="2">
        <v>41639</v>
      </c>
      <c r="D34" t="s">
        <v>110</v>
      </c>
      <c r="E34" t="s">
        <v>40</v>
      </c>
      <c r="F34" t="s">
        <v>43</v>
      </c>
      <c r="G34" t="s">
        <v>45</v>
      </c>
      <c r="H34" t="s">
        <v>23</v>
      </c>
      <c r="I34" s="5">
        <v>323.10000000000002</v>
      </c>
      <c r="J34" s="7">
        <v>2</v>
      </c>
      <c r="K34" s="7">
        <v>0</v>
      </c>
      <c r="L34">
        <v>61.389000000000003</v>
      </c>
      <c r="M34" t="s">
        <v>19</v>
      </c>
      <c r="N34" s="7" t="str">
        <f t="shared" si="2"/>
        <v>CA</v>
      </c>
      <c r="O34" s="7" t="str">
        <f t="shared" ref="O34:O65" si="3">MID(A34,4,4)</f>
        <v>2013</v>
      </c>
      <c r="P34" t="str">
        <f t="shared" ref="P34:P65" si="4">RIGHT(A34,5)</f>
        <v>41635</v>
      </c>
    </row>
    <row r="35" spans="1:16" x14ac:dyDescent="0.3">
      <c r="A35" t="s">
        <v>129</v>
      </c>
      <c r="B35" s="4">
        <v>41165</v>
      </c>
      <c r="C35" s="2">
        <v>41166</v>
      </c>
      <c r="D35" t="s">
        <v>110</v>
      </c>
      <c r="E35" t="s">
        <v>130</v>
      </c>
      <c r="F35" t="s">
        <v>131</v>
      </c>
      <c r="G35" t="s">
        <v>132</v>
      </c>
      <c r="H35" t="s">
        <v>73</v>
      </c>
      <c r="I35" s="5">
        <v>3817.26</v>
      </c>
      <c r="J35" s="7">
        <v>6</v>
      </c>
      <c r="K35" s="7">
        <v>0</v>
      </c>
      <c r="L35">
        <v>1068.6599999999901</v>
      </c>
      <c r="M35" t="s">
        <v>37</v>
      </c>
      <c r="N35" s="7" t="str">
        <f t="shared" si="2"/>
        <v>CG</v>
      </c>
      <c r="O35" s="7" t="str">
        <f t="shared" si="3"/>
        <v>2012</v>
      </c>
      <c r="P35" t="str">
        <f t="shared" si="4"/>
        <v>41165</v>
      </c>
    </row>
    <row r="36" spans="1:16" x14ac:dyDescent="0.3">
      <c r="A36" t="s">
        <v>133</v>
      </c>
      <c r="B36" s="4">
        <v>41041</v>
      </c>
      <c r="C36" t="s">
        <v>134</v>
      </c>
      <c r="D36" t="s">
        <v>110</v>
      </c>
      <c r="E36" t="s">
        <v>40</v>
      </c>
      <c r="F36" t="s">
        <v>43</v>
      </c>
      <c r="G36" t="s">
        <v>32</v>
      </c>
      <c r="H36" t="s">
        <v>44</v>
      </c>
      <c r="I36" s="5">
        <v>279.45600000000002</v>
      </c>
      <c r="J36" s="7">
        <v>6</v>
      </c>
      <c r="K36" s="7">
        <v>0.2</v>
      </c>
      <c r="L36">
        <v>20.9591999999999</v>
      </c>
      <c r="M36" t="s">
        <v>19</v>
      </c>
      <c r="N36" s="7" t="str">
        <f t="shared" si="2"/>
        <v>CA</v>
      </c>
      <c r="O36" s="7" t="str">
        <f t="shared" si="3"/>
        <v>2012</v>
      </c>
      <c r="P36" t="str">
        <f t="shared" si="4"/>
        <v>41041</v>
      </c>
    </row>
    <row r="37" spans="1:16" x14ac:dyDescent="0.3">
      <c r="A37" t="s">
        <v>135</v>
      </c>
      <c r="B37" s="4">
        <v>41273</v>
      </c>
      <c r="C37" s="2">
        <v>41274</v>
      </c>
      <c r="E37" t="s">
        <v>40</v>
      </c>
      <c r="F37" t="s">
        <v>111</v>
      </c>
      <c r="G37" t="s">
        <v>17</v>
      </c>
      <c r="H37" t="s">
        <v>26</v>
      </c>
      <c r="I37" s="5">
        <v>34.769999999999897</v>
      </c>
      <c r="J37" s="7">
        <v>3</v>
      </c>
      <c r="K37" s="7">
        <v>0</v>
      </c>
      <c r="L37">
        <v>11.4740999999999</v>
      </c>
      <c r="M37" t="s">
        <v>37</v>
      </c>
      <c r="N37" s="7" t="str">
        <f t="shared" si="2"/>
        <v>CA</v>
      </c>
      <c r="O37" s="7" t="str">
        <f t="shared" si="3"/>
        <v>2012</v>
      </c>
      <c r="P37" t="str">
        <f t="shared" si="4"/>
        <v>41273</v>
      </c>
    </row>
    <row r="38" spans="1:16" x14ac:dyDescent="0.3">
      <c r="A38" t="s">
        <v>136</v>
      </c>
      <c r="B38" s="4">
        <v>42018</v>
      </c>
      <c r="C38" s="2">
        <v>42022</v>
      </c>
      <c r="E38" t="s">
        <v>93</v>
      </c>
      <c r="F38" t="s">
        <v>94</v>
      </c>
      <c r="G38" t="s">
        <v>17</v>
      </c>
      <c r="H38" t="s">
        <v>127</v>
      </c>
      <c r="I38" s="5">
        <v>4141.0200000000004</v>
      </c>
      <c r="J38" s="7">
        <v>13</v>
      </c>
      <c r="K38" s="7">
        <v>0</v>
      </c>
      <c r="L38">
        <v>1697.67</v>
      </c>
      <c r="M38" t="s">
        <v>37</v>
      </c>
      <c r="N38" s="7" t="str">
        <f t="shared" si="2"/>
        <v>ES</v>
      </c>
      <c r="O38" s="7" t="str">
        <f t="shared" si="3"/>
        <v>2015</v>
      </c>
      <c r="P38" t="str">
        <f t="shared" si="4"/>
        <v>42018</v>
      </c>
    </row>
    <row r="39" spans="1:16" x14ac:dyDescent="0.3">
      <c r="A39" t="s">
        <v>137</v>
      </c>
      <c r="B39" s="4">
        <v>40918</v>
      </c>
      <c r="C39" s="2">
        <v>41214</v>
      </c>
      <c r="D39" t="s">
        <v>138</v>
      </c>
      <c r="E39" t="s">
        <v>15</v>
      </c>
      <c r="F39" t="s">
        <v>16</v>
      </c>
      <c r="G39" t="s">
        <v>17</v>
      </c>
      <c r="H39" t="s">
        <v>127</v>
      </c>
      <c r="I39" s="5">
        <v>2875.0949999999998</v>
      </c>
      <c r="J39" s="7">
        <v>5</v>
      </c>
      <c r="K39" s="7">
        <v>0.1</v>
      </c>
      <c r="L39">
        <v>511.094999999999</v>
      </c>
      <c r="M39" t="s">
        <v>19</v>
      </c>
      <c r="N39" s="7" t="str">
        <f t="shared" si="2"/>
        <v>IN</v>
      </c>
      <c r="O39" s="7" t="str">
        <f t="shared" si="3"/>
        <v>2012</v>
      </c>
      <c r="P39" t="str">
        <f t="shared" si="4"/>
        <v>40918</v>
      </c>
    </row>
    <row r="40" spans="1:16" x14ac:dyDescent="0.3">
      <c r="A40" t="s">
        <v>139</v>
      </c>
      <c r="B40" s="4">
        <v>41873</v>
      </c>
      <c r="C40" s="2">
        <v>41877</v>
      </c>
      <c r="D40" t="s">
        <v>140</v>
      </c>
      <c r="E40" t="s">
        <v>141</v>
      </c>
      <c r="F40" t="s">
        <v>142</v>
      </c>
      <c r="G40" t="s">
        <v>17</v>
      </c>
      <c r="H40" t="s">
        <v>33</v>
      </c>
      <c r="I40" s="5">
        <v>3200.5962</v>
      </c>
      <c r="J40" s="7">
        <v>6</v>
      </c>
      <c r="K40" s="7">
        <v>0.17</v>
      </c>
      <c r="L40">
        <v>-77.203799999999802</v>
      </c>
      <c r="M40" t="s">
        <v>37</v>
      </c>
      <c r="N40" s="7" t="str">
        <f t="shared" si="2"/>
        <v>ID</v>
      </c>
      <c r="O40" s="7" t="str">
        <f t="shared" si="3"/>
        <v>2014</v>
      </c>
      <c r="P40" t="str">
        <f t="shared" si="4"/>
        <v>41873</v>
      </c>
    </row>
    <row r="41" spans="1:16" x14ac:dyDescent="0.3">
      <c r="A41" t="s">
        <v>143</v>
      </c>
      <c r="B41" s="4">
        <v>42319</v>
      </c>
      <c r="C41" s="2">
        <v>42323</v>
      </c>
      <c r="D41" t="s">
        <v>144</v>
      </c>
      <c r="E41" t="s">
        <v>114</v>
      </c>
      <c r="F41" t="s">
        <v>115</v>
      </c>
      <c r="G41" t="s">
        <v>17</v>
      </c>
      <c r="H41" t="s">
        <v>26</v>
      </c>
      <c r="I41" s="5">
        <v>4518.78</v>
      </c>
      <c r="J41" s="7">
        <v>7</v>
      </c>
      <c r="K41" s="7">
        <v>0</v>
      </c>
      <c r="L41">
        <v>632.52</v>
      </c>
      <c r="M41" t="s">
        <v>37</v>
      </c>
      <c r="N41" s="7" t="str">
        <f t="shared" si="2"/>
        <v>IN</v>
      </c>
      <c r="O41" s="7" t="str">
        <f t="shared" si="3"/>
        <v>2015</v>
      </c>
      <c r="P41" t="str">
        <f t="shared" si="4"/>
        <v>42319</v>
      </c>
    </row>
    <row r="42" spans="1:16" x14ac:dyDescent="0.3">
      <c r="A42" t="s">
        <v>145</v>
      </c>
      <c r="B42" s="4">
        <v>42273</v>
      </c>
      <c r="C42" s="2">
        <v>42275</v>
      </c>
      <c r="D42" t="s">
        <v>146</v>
      </c>
      <c r="E42" t="s">
        <v>114</v>
      </c>
      <c r="F42" t="s">
        <v>115</v>
      </c>
      <c r="G42" t="s">
        <v>32</v>
      </c>
      <c r="H42" t="s">
        <v>26</v>
      </c>
      <c r="I42" s="5">
        <v>5667.87</v>
      </c>
      <c r="J42" s="7">
        <v>13</v>
      </c>
      <c r="K42" s="7">
        <v>0</v>
      </c>
      <c r="L42">
        <v>2097.0300000000002</v>
      </c>
      <c r="M42" t="s">
        <v>19</v>
      </c>
      <c r="N42" s="7" t="str">
        <f t="shared" si="2"/>
        <v>IN</v>
      </c>
      <c r="O42" s="7" t="str">
        <f t="shared" si="3"/>
        <v>2015</v>
      </c>
      <c r="P42" t="str">
        <f t="shared" si="4"/>
        <v>42273</v>
      </c>
    </row>
    <row r="43" spans="1:16" x14ac:dyDescent="0.3">
      <c r="A43" t="s">
        <v>147</v>
      </c>
      <c r="B43" s="4">
        <v>41621</v>
      </c>
      <c r="C43" s="2">
        <v>41625</v>
      </c>
      <c r="D43" t="s">
        <v>148</v>
      </c>
      <c r="E43" t="s">
        <v>93</v>
      </c>
      <c r="F43" t="s">
        <v>94</v>
      </c>
      <c r="G43" t="s">
        <v>17</v>
      </c>
      <c r="H43" t="s">
        <v>26</v>
      </c>
      <c r="I43" s="5">
        <v>5785.0199999999904</v>
      </c>
      <c r="J43" s="7">
        <v>9</v>
      </c>
      <c r="K43" s="7">
        <v>0</v>
      </c>
      <c r="L43">
        <v>404.73</v>
      </c>
      <c r="M43" t="s">
        <v>37</v>
      </c>
      <c r="N43" s="7" t="str">
        <f t="shared" si="2"/>
        <v>ES</v>
      </c>
      <c r="O43" s="7" t="str">
        <f t="shared" si="3"/>
        <v>2013</v>
      </c>
      <c r="P43" t="str">
        <f t="shared" si="4"/>
        <v>41621</v>
      </c>
    </row>
    <row r="44" spans="1:16" x14ac:dyDescent="0.3">
      <c r="A44" t="s">
        <v>149</v>
      </c>
      <c r="B44" s="4">
        <v>41174</v>
      </c>
      <c r="C44" s="2">
        <v>41176</v>
      </c>
      <c r="D44" t="s">
        <v>150</v>
      </c>
      <c r="E44" t="s">
        <v>22</v>
      </c>
      <c r="F44" t="s">
        <v>71</v>
      </c>
      <c r="G44" t="s">
        <v>45</v>
      </c>
      <c r="H44" t="s">
        <v>151</v>
      </c>
      <c r="I44" s="5">
        <v>3018.6239999999998</v>
      </c>
      <c r="J44" s="7">
        <v>7</v>
      </c>
      <c r="K44" s="7">
        <v>0.2</v>
      </c>
      <c r="L44">
        <v>377.24399999999901</v>
      </c>
      <c r="M44" t="s">
        <v>27</v>
      </c>
      <c r="N44" s="7" t="str">
        <f t="shared" si="2"/>
        <v>IT</v>
      </c>
      <c r="O44" s="7" t="str">
        <f t="shared" si="3"/>
        <v>2012</v>
      </c>
      <c r="P44" t="str">
        <f t="shared" si="4"/>
        <v>41174</v>
      </c>
    </row>
    <row r="45" spans="1:16" x14ac:dyDescent="0.3">
      <c r="A45" t="s">
        <v>152</v>
      </c>
      <c r="B45" s="4">
        <v>41719</v>
      </c>
      <c r="C45" s="2">
        <v>41724</v>
      </c>
      <c r="E45" t="s">
        <v>40</v>
      </c>
      <c r="F45" t="s">
        <v>153</v>
      </c>
      <c r="G45" t="s">
        <v>32</v>
      </c>
      <c r="H45" t="s">
        <v>26</v>
      </c>
      <c r="I45" s="5">
        <v>86.45</v>
      </c>
      <c r="J45" s="7">
        <v>7</v>
      </c>
      <c r="K45" s="7">
        <v>0</v>
      </c>
      <c r="M45" t="s">
        <v>19</v>
      </c>
      <c r="N45" s="7" t="str">
        <f t="shared" si="2"/>
        <v>CA</v>
      </c>
      <c r="O45" s="7" t="str">
        <f t="shared" si="3"/>
        <v>2014</v>
      </c>
      <c r="P45" t="str">
        <f t="shared" si="4"/>
        <v>41719</v>
      </c>
    </row>
    <row r="46" spans="1:16" x14ac:dyDescent="0.3">
      <c r="A46" t="s">
        <v>154</v>
      </c>
      <c r="B46" s="4">
        <v>41706</v>
      </c>
      <c r="C46" s="2">
        <v>41854</v>
      </c>
      <c r="D46" t="s">
        <v>155</v>
      </c>
      <c r="E46" t="s">
        <v>70</v>
      </c>
      <c r="F46" t="s">
        <v>71</v>
      </c>
      <c r="G46" t="s">
        <v>32</v>
      </c>
      <c r="H46" t="s">
        <v>73</v>
      </c>
      <c r="I46" s="5">
        <v>2092.49999999999</v>
      </c>
      <c r="J46" s="7">
        <v>5</v>
      </c>
      <c r="K46" s="7">
        <v>0.1</v>
      </c>
      <c r="L46">
        <v>720.74999999999898</v>
      </c>
      <c r="M46" t="s">
        <v>27</v>
      </c>
      <c r="N46" s="7" t="str">
        <f t="shared" si="2"/>
        <v>IT</v>
      </c>
      <c r="O46" s="7" t="str">
        <f t="shared" si="3"/>
        <v>2014</v>
      </c>
      <c r="P46" t="str">
        <f t="shared" si="4"/>
        <v>41706</v>
      </c>
    </row>
    <row r="47" spans="1:16" x14ac:dyDescent="0.3">
      <c r="A47" t="s">
        <v>156</v>
      </c>
      <c r="B47" s="4">
        <v>42244</v>
      </c>
      <c r="C47" s="2">
        <v>42245</v>
      </c>
      <c r="D47" t="s">
        <v>157</v>
      </c>
      <c r="E47" t="s">
        <v>66</v>
      </c>
      <c r="F47" t="s">
        <v>90</v>
      </c>
      <c r="G47" t="s">
        <v>32</v>
      </c>
      <c r="H47" t="s">
        <v>46</v>
      </c>
      <c r="I47" s="5">
        <v>2761.2</v>
      </c>
      <c r="J47" s="7">
        <v>6</v>
      </c>
      <c r="K47" s="7">
        <v>0</v>
      </c>
      <c r="L47">
        <v>110.34</v>
      </c>
      <c r="M47" t="s">
        <v>37</v>
      </c>
      <c r="N47" s="7" t="str">
        <f t="shared" si="2"/>
        <v>IN</v>
      </c>
      <c r="O47" s="7" t="str">
        <f t="shared" si="3"/>
        <v>2015</v>
      </c>
      <c r="P47" t="str">
        <f t="shared" si="4"/>
        <v>42244</v>
      </c>
    </row>
    <row r="48" spans="1:16" x14ac:dyDescent="0.3">
      <c r="A48" t="s">
        <v>158</v>
      </c>
      <c r="B48" s="4">
        <v>42125</v>
      </c>
      <c r="C48" s="2">
        <v>42125</v>
      </c>
      <c r="D48" t="s">
        <v>159</v>
      </c>
      <c r="E48" t="s">
        <v>114</v>
      </c>
      <c r="F48" t="s">
        <v>115</v>
      </c>
      <c r="G48" t="s">
        <v>17</v>
      </c>
      <c r="H48" t="s">
        <v>23</v>
      </c>
      <c r="I48" s="5">
        <v>2174.13</v>
      </c>
      <c r="J48" s="7">
        <v>7</v>
      </c>
      <c r="K48" s="7"/>
      <c r="L48">
        <v>500.00999999999902</v>
      </c>
      <c r="M48" t="s">
        <v>27</v>
      </c>
      <c r="N48" s="7" t="str">
        <f t="shared" si="2"/>
        <v>IN</v>
      </c>
      <c r="O48" s="7" t="str">
        <f t="shared" si="3"/>
        <v>2015</v>
      </c>
      <c r="P48" t="str">
        <f t="shared" si="4"/>
        <v>42125</v>
      </c>
    </row>
    <row r="49" spans="1:16" x14ac:dyDescent="0.3">
      <c r="A49" t="s">
        <v>160</v>
      </c>
      <c r="B49" s="5" t="s">
        <v>125</v>
      </c>
      <c r="C49" s="2">
        <v>42358</v>
      </c>
      <c r="D49" t="s">
        <v>161</v>
      </c>
      <c r="E49" t="s">
        <v>162</v>
      </c>
      <c r="F49" t="s">
        <v>61</v>
      </c>
      <c r="G49" t="s">
        <v>32</v>
      </c>
      <c r="H49" t="s">
        <v>23</v>
      </c>
      <c r="I49" s="5" t="s">
        <v>163</v>
      </c>
      <c r="J49" s="7">
        <v>11</v>
      </c>
      <c r="K49" s="7">
        <v>0</v>
      </c>
      <c r="L49">
        <v>868.12</v>
      </c>
      <c r="M49" t="s">
        <v>37</v>
      </c>
      <c r="N49" s="7" t="str">
        <f t="shared" si="2"/>
        <v>MX</v>
      </c>
      <c r="O49" s="7" t="str">
        <f t="shared" si="3"/>
        <v>2015</v>
      </c>
      <c r="P49" t="str">
        <f t="shared" si="4"/>
        <v>42356</v>
      </c>
    </row>
    <row r="50" spans="1:16" x14ac:dyDescent="0.3">
      <c r="A50" t="s">
        <v>164</v>
      </c>
      <c r="B50" s="4">
        <v>41206</v>
      </c>
      <c r="C50" s="2">
        <v>41209</v>
      </c>
      <c r="D50" t="s">
        <v>110</v>
      </c>
      <c r="E50" t="s">
        <v>40</v>
      </c>
      <c r="F50" t="s">
        <v>43</v>
      </c>
      <c r="G50" t="s">
        <v>165</v>
      </c>
      <c r="H50" t="s">
        <v>127</v>
      </c>
      <c r="I50" s="5">
        <v>49.408000000000001</v>
      </c>
      <c r="J50" s="7">
        <v>4</v>
      </c>
      <c r="K50" s="7">
        <v>0.2</v>
      </c>
      <c r="M50" t="s">
        <v>37</v>
      </c>
      <c r="N50" s="7" t="str">
        <f t="shared" si="2"/>
        <v>US</v>
      </c>
      <c r="O50" s="7" t="str">
        <f t="shared" si="3"/>
        <v>2012</v>
      </c>
      <c r="P50" t="str">
        <f t="shared" si="4"/>
        <v>41206</v>
      </c>
    </row>
    <row r="51" spans="1:16" x14ac:dyDescent="0.3">
      <c r="A51" t="s">
        <v>166</v>
      </c>
      <c r="B51" s="4">
        <v>42265</v>
      </c>
      <c r="C51" s="2">
        <v>42268</v>
      </c>
      <c r="D51" t="s">
        <v>167</v>
      </c>
      <c r="E51" t="s">
        <v>168</v>
      </c>
      <c r="F51" t="s">
        <v>169</v>
      </c>
      <c r="G51" t="s">
        <v>17</v>
      </c>
      <c r="H51" t="s">
        <v>23</v>
      </c>
      <c r="I51" s="5">
        <v>2108.64</v>
      </c>
      <c r="J51" s="7">
        <v>8</v>
      </c>
      <c r="K51" s="7">
        <v>0</v>
      </c>
      <c r="L51">
        <v>527.04</v>
      </c>
      <c r="M51" t="s">
        <v>27</v>
      </c>
      <c r="N51" s="7" t="str">
        <f t="shared" si="2"/>
        <v>IR</v>
      </c>
      <c r="O51" s="7" t="str">
        <f t="shared" si="3"/>
        <v>2015</v>
      </c>
      <c r="P51" t="str">
        <f t="shared" si="4"/>
        <v>42265</v>
      </c>
    </row>
    <row r="52" spans="1:16" x14ac:dyDescent="0.3">
      <c r="A52" t="s">
        <v>135</v>
      </c>
      <c r="B52" s="4">
        <v>41273</v>
      </c>
      <c r="C52" s="2">
        <v>41274</v>
      </c>
      <c r="D52" t="s">
        <v>110</v>
      </c>
      <c r="E52" t="s">
        <v>40</v>
      </c>
      <c r="F52" t="s">
        <v>111</v>
      </c>
      <c r="G52" t="s">
        <v>45</v>
      </c>
      <c r="H52" t="s">
        <v>46</v>
      </c>
      <c r="I52" s="5"/>
      <c r="J52" s="7">
        <v>3</v>
      </c>
      <c r="K52" s="7">
        <v>0</v>
      </c>
      <c r="L52">
        <v>8.6939999999999902</v>
      </c>
      <c r="M52" t="s">
        <v>37</v>
      </c>
      <c r="N52" s="7" t="str">
        <f t="shared" si="2"/>
        <v>CA</v>
      </c>
      <c r="O52" s="7" t="str">
        <f t="shared" si="3"/>
        <v>2012</v>
      </c>
      <c r="P52" t="str">
        <f t="shared" si="4"/>
        <v>41273</v>
      </c>
    </row>
    <row r="53" spans="1:16" x14ac:dyDescent="0.3">
      <c r="A53" t="s">
        <v>102</v>
      </c>
      <c r="B53" s="5" t="s">
        <v>170</v>
      </c>
      <c r="C53" s="2">
        <v>41262</v>
      </c>
      <c r="D53" t="s">
        <v>103</v>
      </c>
      <c r="E53" t="s">
        <v>104</v>
      </c>
      <c r="F53" t="s">
        <v>90</v>
      </c>
      <c r="G53" t="s">
        <v>32</v>
      </c>
      <c r="H53" t="s">
        <v>33</v>
      </c>
      <c r="I53" s="5"/>
      <c r="J53" s="7">
        <v>5</v>
      </c>
      <c r="K53" s="7">
        <v>0</v>
      </c>
      <c r="M53" t="s">
        <v>27</v>
      </c>
      <c r="N53" s="7" t="str">
        <f t="shared" si="2"/>
        <v>IN</v>
      </c>
      <c r="O53" s="7" t="str">
        <f t="shared" si="3"/>
        <v>2012</v>
      </c>
      <c r="P53" t="str">
        <f t="shared" si="4"/>
        <v>41259</v>
      </c>
    </row>
    <row r="54" spans="1:16" x14ac:dyDescent="0.3">
      <c r="A54" t="s">
        <v>171</v>
      </c>
      <c r="B54" s="4">
        <v>41991</v>
      </c>
      <c r="C54" s="2">
        <v>41991</v>
      </c>
      <c r="D54" t="s">
        <v>172</v>
      </c>
      <c r="E54" t="s">
        <v>173</v>
      </c>
      <c r="F54" t="s">
        <v>84</v>
      </c>
      <c r="G54" t="s">
        <v>17</v>
      </c>
      <c r="H54" t="s">
        <v>33</v>
      </c>
      <c r="I54" s="5">
        <v>2582.16</v>
      </c>
      <c r="J54" s="7">
        <v>4</v>
      </c>
      <c r="K54" s="7">
        <v>0</v>
      </c>
      <c r="L54">
        <v>593.88</v>
      </c>
      <c r="N54" s="7" t="str">
        <f t="shared" si="2"/>
        <v>MZ</v>
      </c>
      <c r="O54" s="7" t="str">
        <f t="shared" si="3"/>
        <v>2014</v>
      </c>
      <c r="P54" t="str">
        <f t="shared" si="4"/>
        <v>41991</v>
      </c>
    </row>
    <row r="55" spans="1:16" x14ac:dyDescent="0.3">
      <c r="A55" t="s">
        <v>174</v>
      </c>
      <c r="B55" s="4">
        <v>41424</v>
      </c>
      <c r="C55" s="2">
        <v>41425</v>
      </c>
      <c r="D55" t="s">
        <v>175</v>
      </c>
      <c r="E55" t="s">
        <v>114</v>
      </c>
      <c r="F55" t="s">
        <v>115</v>
      </c>
      <c r="G55" t="s">
        <v>17</v>
      </c>
      <c r="H55" t="s">
        <v>151</v>
      </c>
      <c r="I55" s="5">
        <v>1526.52</v>
      </c>
      <c r="J55" s="7">
        <v>4</v>
      </c>
      <c r="K55" s="7">
        <v>0</v>
      </c>
      <c r="L55">
        <v>732.72</v>
      </c>
      <c r="M55" t="s">
        <v>27</v>
      </c>
      <c r="N55" s="7" t="str">
        <f t="shared" si="2"/>
        <v>IN</v>
      </c>
      <c r="O55" s="7" t="str">
        <f t="shared" si="3"/>
        <v>2013</v>
      </c>
      <c r="P55" t="str">
        <f t="shared" si="4"/>
        <v>41424</v>
      </c>
    </row>
    <row r="56" spans="1:16" x14ac:dyDescent="0.3">
      <c r="A56" t="s">
        <v>109</v>
      </c>
      <c r="B56" s="4">
        <v>41020</v>
      </c>
      <c r="C56" s="2">
        <v>41022</v>
      </c>
      <c r="D56" t="s">
        <v>110</v>
      </c>
      <c r="E56" t="s">
        <v>40</v>
      </c>
      <c r="F56" t="s">
        <v>176</v>
      </c>
      <c r="H56" t="s">
        <v>26</v>
      </c>
      <c r="I56" s="5">
        <v>9.9120000000000008</v>
      </c>
      <c r="J56" s="7">
        <v>3</v>
      </c>
      <c r="K56" s="7">
        <v>0.2</v>
      </c>
      <c r="M56" t="s">
        <v>27</v>
      </c>
      <c r="N56" s="7" t="str">
        <f t="shared" si="2"/>
        <v>CA</v>
      </c>
      <c r="O56" s="7" t="str">
        <f t="shared" si="3"/>
        <v>2012</v>
      </c>
      <c r="P56" t="str">
        <f t="shared" si="4"/>
        <v>41020</v>
      </c>
    </row>
    <row r="57" spans="1:16" x14ac:dyDescent="0.3">
      <c r="A57" t="s">
        <v>177</v>
      </c>
      <c r="B57" s="4">
        <v>41419</v>
      </c>
      <c r="C57" s="2">
        <v>41422</v>
      </c>
      <c r="D57" t="s">
        <v>178</v>
      </c>
      <c r="E57" t="s">
        <v>114</v>
      </c>
      <c r="F57" t="s">
        <v>115</v>
      </c>
      <c r="G57" t="s">
        <v>179</v>
      </c>
      <c r="H57" t="s">
        <v>33</v>
      </c>
      <c r="I57" s="5">
        <v>1745.34</v>
      </c>
      <c r="J57" s="7">
        <v>2</v>
      </c>
      <c r="K57" s="7">
        <v>0</v>
      </c>
      <c r="L57">
        <v>226.86</v>
      </c>
      <c r="M57" t="s">
        <v>27</v>
      </c>
      <c r="N57" s="7" t="str">
        <f t="shared" si="2"/>
        <v>IN</v>
      </c>
      <c r="O57" s="7" t="str">
        <f t="shared" si="3"/>
        <v>2013</v>
      </c>
      <c r="P57" t="str">
        <f t="shared" si="4"/>
        <v>41419</v>
      </c>
    </row>
    <row r="58" spans="1:16" x14ac:dyDescent="0.3">
      <c r="A58" t="s">
        <v>180</v>
      </c>
      <c r="B58" s="4">
        <v>42221</v>
      </c>
      <c r="C58" s="2">
        <v>42222</v>
      </c>
      <c r="D58" t="s">
        <v>181</v>
      </c>
      <c r="E58" t="s">
        <v>15</v>
      </c>
      <c r="F58" t="s">
        <v>16</v>
      </c>
      <c r="G58" t="s">
        <v>45</v>
      </c>
      <c r="H58" t="s">
        <v>33</v>
      </c>
      <c r="I58" s="5">
        <v>4191.5069999999996</v>
      </c>
      <c r="J58" s="7">
        <v>9</v>
      </c>
      <c r="K58" s="7">
        <v>0.1</v>
      </c>
      <c r="L58">
        <v>1164.26699999999</v>
      </c>
      <c r="M58" t="s">
        <v>37</v>
      </c>
      <c r="N58" s="7" t="str">
        <f t="shared" si="2"/>
        <v>IN</v>
      </c>
      <c r="O58" s="7" t="str">
        <f t="shared" si="3"/>
        <v>2015</v>
      </c>
      <c r="P58" t="str">
        <f t="shared" si="4"/>
        <v>42221</v>
      </c>
    </row>
    <row r="59" spans="1:16" x14ac:dyDescent="0.3">
      <c r="A59" t="s">
        <v>133</v>
      </c>
      <c r="B59" s="4">
        <v>41041</v>
      </c>
      <c r="C59" s="2">
        <v>41047</v>
      </c>
      <c r="D59" t="s">
        <v>110</v>
      </c>
      <c r="E59" t="s">
        <v>40</v>
      </c>
      <c r="F59" t="s">
        <v>43</v>
      </c>
      <c r="G59" t="s">
        <v>165</v>
      </c>
      <c r="H59" t="s">
        <v>44</v>
      </c>
      <c r="I59" s="5">
        <v>8</v>
      </c>
      <c r="J59" s="7">
        <v>2</v>
      </c>
      <c r="K59" s="7"/>
      <c r="L59">
        <v>3.84</v>
      </c>
      <c r="M59" t="s">
        <v>19</v>
      </c>
      <c r="N59" s="7" t="str">
        <f t="shared" si="2"/>
        <v>CA</v>
      </c>
      <c r="O59" s="7" t="str">
        <f t="shared" si="3"/>
        <v>2012</v>
      </c>
      <c r="P59" t="str">
        <f t="shared" si="4"/>
        <v>41041</v>
      </c>
    </row>
    <row r="60" spans="1:16" x14ac:dyDescent="0.3">
      <c r="A60" t="s">
        <v>182</v>
      </c>
      <c r="B60" s="4">
        <v>42074</v>
      </c>
      <c r="D60" t="s">
        <v>183</v>
      </c>
      <c r="E60" t="s">
        <v>184</v>
      </c>
      <c r="F60" t="s">
        <v>115</v>
      </c>
      <c r="G60" t="s">
        <v>185</v>
      </c>
      <c r="H60" t="s">
        <v>73</v>
      </c>
      <c r="I60" s="5">
        <v>3063.27</v>
      </c>
      <c r="J60" s="7">
        <v>7</v>
      </c>
      <c r="K60" s="7">
        <v>0</v>
      </c>
      <c r="L60">
        <v>581.91</v>
      </c>
      <c r="M60" t="s">
        <v>37</v>
      </c>
      <c r="N60" s="7" t="str">
        <f t="shared" si="2"/>
        <v>IN</v>
      </c>
      <c r="O60" s="7" t="str">
        <f t="shared" si="3"/>
        <v>2015</v>
      </c>
      <c r="P60" t="str">
        <f t="shared" si="4"/>
        <v>42074</v>
      </c>
    </row>
    <row r="61" spans="1:16" x14ac:dyDescent="0.3">
      <c r="A61" t="s">
        <v>186</v>
      </c>
      <c r="B61" s="4">
        <v>42357</v>
      </c>
      <c r="C61" s="2">
        <v>42361</v>
      </c>
      <c r="D61" t="s">
        <v>110</v>
      </c>
      <c r="E61" t="s">
        <v>40</v>
      </c>
      <c r="F61" t="s">
        <v>111</v>
      </c>
      <c r="G61" t="s">
        <v>45</v>
      </c>
      <c r="H61" t="s">
        <v>26</v>
      </c>
      <c r="I61" s="5">
        <v>18.704000000000001</v>
      </c>
      <c r="J61" s="7">
        <v>7</v>
      </c>
      <c r="K61" s="7">
        <v>0.2</v>
      </c>
      <c r="L61">
        <v>2.3379999999999899</v>
      </c>
      <c r="M61" t="s">
        <v>19</v>
      </c>
      <c r="N61" s="7" t="str">
        <f t="shared" si="2"/>
        <v>CA</v>
      </c>
      <c r="O61" s="7" t="str">
        <f t="shared" si="3"/>
        <v>2015</v>
      </c>
      <c r="P61" t="str">
        <f t="shared" si="4"/>
        <v>42357</v>
      </c>
    </row>
    <row r="62" spans="1:16" x14ac:dyDescent="0.3">
      <c r="A62" t="s">
        <v>187</v>
      </c>
      <c r="B62" s="4">
        <v>42227</v>
      </c>
      <c r="C62" s="2">
        <v>42232</v>
      </c>
      <c r="D62" t="s">
        <v>188</v>
      </c>
      <c r="E62" t="s">
        <v>22</v>
      </c>
      <c r="F62" t="s">
        <v>71</v>
      </c>
      <c r="G62" t="s">
        <v>17</v>
      </c>
      <c r="H62" t="s">
        <v>151</v>
      </c>
      <c r="I62" s="5">
        <v>4473</v>
      </c>
      <c r="J62" s="7">
        <v>7</v>
      </c>
      <c r="K62" s="7">
        <v>0</v>
      </c>
      <c r="L62">
        <v>313.11</v>
      </c>
      <c r="M62" t="s">
        <v>19</v>
      </c>
      <c r="N62" s="7" t="str">
        <f t="shared" si="2"/>
        <v>ES</v>
      </c>
      <c r="O62" s="7" t="str">
        <f t="shared" si="3"/>
        <v>2015</v>
      </c>
      <c r="P62" t="str">
        <f t="shared" si="4"/>
        <v>42227</v>
      </c>
    </row>
    <row r="63" spans="1:16" x14ac:dyDescent="0.3">
      <c r="A63" t="s">
        <v>189</v>
      </c>
      <c r="B63" s="4">
        <v>41882</v>
      </c>
      <c r="C63" s="2">
        <v>41885</v>
      </c>
      <c r="D63" t="s">
        <v>190</v>
      </c>
      <c r="E63" t="s">
        <v>22</v>
      </c>
      <c r="F63" t="s">
        <v>71</v>
      </c>
      <c r="G63" t="s">
        <v>17</v>
      </c>
      <c r="H63" t="s">
        <v>127</v>
      </c>
      <c r="I63" s="5">
        <v>1502.01</v>
      </c>
      <c r="J63" s="7">
        <v>9</v>
      </c>
      <c r="K63" s="7">
        <v>0</v>
      </c>
      <c r="L63">
        <v>225.18</v>
      </c>
      <c r="M63" t="s">
        <v>27</v>
      </c>
      <c r="N63" s="7" t="str">
        <f t="shared" si="2"/>
        <v>IT</v>
      </c>
      <c r="O63" s="7" t="str">
        <f t="shared" si="3"/>
        <v>2014</v>
      </c>
      <c r="P63" t="str">
        <f t="shared" si="4"/>
        <v>41882</v>
      </c>
    </row>
    <row r="64" spans="1:16" x14ac:dyDescent="0.3">
      <c r="A64" t="s">
        <v>191</v>
      </c>
      <c r="B64" s="4">
        <v>42022</v>
      </c>
      <c r="C64" s="2">
        <v>42027</v>
      </c>
      <c r="D64" t="s">
        <v>192</v>
      </c>
      <c r="E64" t="s">
        <v>66</v>
      </c>
      <c r="F64" t="s">
        <v>90</v>
      </c>
      <c r="G64" t="s">
        <v>32</v>
      </c>
      <c r="H64" t="s">
        <v>26</v>
      </c>
      <c r="I64" s="5">
        <v>5048.99999999999</v>
      </c>
      <c r="J64" s="7">
        <v>11</v>
      </c>
      <c r="K64" s="7">
        <v>0</v>
      </c>
      <c r="L64">
        <v>3799.5593480469101</v>
      </c>
      <c r="M64" t="s">
        <v>37</v>
      </c>
      <c r="N64" s="7" t="str">
        <f t="shared" si="2"/>
        <v>IN</v>
      </c>
      <c r="O64" s="7" t="str">
        <f t="shared" si="3"/>
        <v>2015</v>
      </c>
      <c r="P64" t="str">
        <f t="shared" si="4"/>
        <v>42022</v>
      </c>
    </row>
    <row r="65" spans="1:16" x14ac:dyDescent="0.3">
      <c r="A65" t="s">
        <v>193</v>
      </c>
      <c r="B65" s="4">
        <v>42007</v>
      </c>
      <c r="D65" t="s">
        <v>194</v>
      </c>
      <c r="E65" t="s">
        <v>40</v>
      </c>
      <c r="F65" t="s">
        <v>153</v>
      </c>
      <c r="G65" t="s">
        <v>17</v>
      </c>
      <c r="H65" t="s">
        <v>26</v>
      </c>
      <c r="I65" s="5">
        <v>695.7</v>
      </c>
      <c r="J65" s="7"/>
      <c r="K65" s="7"/>
      <c r="L65">
        <v>-27.8279999999999</v>
      </c>
      <c r="M65" t="s">
        <v>37</v>
      </c>
      <c r="N65" s="7" t="str">
        <f t="shared" si="2"/>
        <v>CA</v>
      </c>
      <c r="O65" s="7" t="str">
        <f t="shared" si="3"/>
        <v>2015</v>
      </c>
      <c r="P65" t="str">
        <f t="shared" si="4"/>
        <v>42007</v>
      </c>
    </row>
    <row r="66" spans="1:16" x14ac:dyDescent="0.3">
      <c r="A66" t="s">
        <v>195</v>
      </c>
      <c r="B66" s="4">
        <v>42345</v>
      </c>
      <c r="C66" s="2">
        <v>42228</v>
      </c>
      <c r="D66" t="s">
        <v>196</v>
      </c>
      <c r="E66" t="s">
        <v>197</v>
      </c>
      <c r="F66" t="s">
        <v>77</v>
      </c>
      <c r="G66" t="s">
        <v>32</v>
      </c>
      <c r="H66" t="s">
        <v>23</v>
      </c>
      <c r="I66" s="5">
        <v>2188.0500000000002</v>
      </c>
      <c r="J66" s="7">
        <v>5</v>
      </c>
      <c r="K66" s="7">
        <v>0</v>
      </c>
      <c r="L66">
        <v>1050.1500000000001</v>
      </c>
      <c r="M66" t="s">
        <v>37</v>
      </c>
      <c r="N66" s="7" t="str">
        <f t="shared" si="2"/>
        <v>IT</v>
      </c>
      <c r="O66" s="7" t="str">
        <f t="shared" ref="O66:O100" si="5">MID(A66,4,4)</f>
        <v>2015</v>
      </c>
      <c r="P66" t="str">
        <f t="shared" ref="P66:P100" si="6">RIGHT(A66,5)</f>
        <v>42345</v>
      </c>
    </row>
    <row r="67" spans="1:16" x14ac:dyDescent="0.3">
      <c r="A67" t="s">
        <v>198</v>
      </c>
      <c r="B67" s="5"/>
      <c r="C67" s="2">
        <v>42357</v>
      </c>
      <c r="D67" t="s">
        <v>199</v>
      </c>
      <c r="E67" t="s">
        <v>114</v>
      </c>
      <c r="F67" t="s">
        <v>115</v>
      </c>
      <c r="G67" t="s">
        <v>32</v>
      </c>
      <c r="H67" t="s">
        <v>73</v>
      </c>
      <c r="I67" s="5">
        <v>1920.36</v>
      </c>
      <c r="J67" s="7">
        <v>4</v>
      </c>
      <c r="K67" s="7">
        <v>0</v>
      </c>
      <c r="L67">
        <v>652.91999999999996</v>
      </c>
      <c r="M67" t="s">
        <v>27</v>
      </c>
      <c r="N67" s="7" t="str">
        <f t="shared" ref="N67:N100" si="7">LEFT(A67,2)</f>
        <v>IN</v>
      </c>
      <c r="O67" s="7" t="str">
        <f t="shared" si="5"/>
        <v>2015</v>
      </c>
      <c r="P67" t="str">
        <f t="shared" si="6"/>
        <v>42354</v>
      </c>
    </row>
    <row r="68" spans="1:16" x14ac:dyDescent="0.3">
      <c r="A68" t="s">
        <v>200</v>
      </c>
      <c r="B68" s="4">
        <v>42328</v>
      </c>
      <c r="C68" s="2">
        <v>42328</v>
      </c>
      <c r="D68" t="s">
        <v>201</v>
      </c>
      <c r="E68" t="s">
        <v>97</v>
      </c>
      <c r="F68" t="s">
        <v>98</v>
      </c>
      <c r="G68" t="s">
        <v>17</v>
      </c>
      <c r="H68" t="s">
        <v>151</v>
      </c>
      <c r="I68" s="5">
        <v>1704</v>
      </c>
      <c r="J68" s="7">
        <v>4</v>
      </c>
      <c r="K68" s="7">
        <v>0</v>
      </c>
      <c r="L68">
        <v>119.28</v>
      </c>
      <c r="M68" t="s">
        <v>27</v>
      </c>
      <c r="N68" s="7" t="str">
        <f t="shared" si="7"/>
        <v>MX</v>
      </c>
      <c r="O68" s="7" t="str">
        <f t="shared" si="5"/>
        <v>2015</v>
      </c>
      <c r="P68" t="str">
        <f t="shared" si="6"/>
        <v>42328</v>
      </c>
    </row>
    <row r="69" spans="1:16" x14ac:dyDescent="0.3">
      <c r="A69" t="s">
        <v>202</v>
      </c>
      <c r="B69" s="4">
        <v>41221</v>
      </c>
      <c r="C69" s="2">
        <v>41223</v>
      </c>
      <c r="D69" t="s">
        <v>203</v>
      </c>
      <c r="E69" t="s">
        <v>204</v>
      </c>
      <c r="F69" t="s">
        <v>205</v>
      </c>
      <c r="G69" t="s">
        <v>32</v>
      </c>
      <c r="H69" t="s">
        <v>44</v>
      </c>
      <c r="I69" s="5">
        <v>1858.68</v>
      </c>
      <c r="J69" s="7">
        <v>4</v>
      </c>
      <c r="K69" s="7">
        <v>0</v>
      </c>
      <c r="M69" t="s">
        <v>27</v>
      </c>
      <c r="N69" s="7" t="str">
        <f t="shared" si="7"/>
        <v>UP</v>
      </c>
      <c r="O69" s="7" t="str">
        <f t="shared" si="5"/>
        <v>2012</v>
      </c>
      <c r="P69" t="str">
        <f t="shared" si="6"/>
        <v>41221</v>
      </c>
    </row>
    <row r="70" spans="1:16" x14ac:dyDescent="0.3">
      <c r="A70" t="s">
        <v>206</v>
      </c>
      <c r="B70" s="4">
        <v>41826</v>
      </c>
      <c r="C70" s="2">
        <v>41799</v>
      </c>
      <c r="D70" t="s">
        <v>207</v>
      </c>
      <c r="E70" t="s">
        <v>208</v>
      </c>
      <c r="F70" t="s">
        <v>90</v>
      </c>
      <c r="G70" t="s">
        <v>32</v>
      </c>
      <c r="H70" t="s">
        <v>26</v>
      </c>
      <c r="I70" s="5">
        <v>3298.2599999999902</v>
      </c>
      <c r="J70" s="7">
        <v>7</v>
      </c>
      <c r="K70" s="7">
        <v>0</v>
      </c>
      <c r="L70">
        <v>1055.25</v>
      </c>
      <c r="M70" t="s">
        <v>37</v>
      </c>
      <c r="N70" s="7" t="str">
        <f t="shared" si="7"/>
        <v>IN</v>
      </c>
      <c r="O70" s="7" t="str">
        <f t="shared" si="5"/>
        <v>2014</v>
      </c>
      <c r="P70" t="str">
        <f t="shared" si="6"/>
        <v>47197</v>
      </c>
    </row>
    <row r="71" spans="1:16" x14ac:dyDescent="0.3">
      <c r="A71" t="s">
        <v>209</v>
      </c>
      <c r="B71" s="4">
        <v>41234</v>
      </c>
      <c r="C71" s="2">
        <v>41235</v>
      </c>
      <c r="D71" t="s">
        <v>210</v>
      </c>
      <c r="E71" t="s">
        <v>211</v>
      </c>
      <c r="F71" t="s">
        <v>98</v>
      </c>
      <c r="G71" t="s">
        <v>45</v>
      </c>
      <c r="H71" t="s">
        <v>44</v>
      </c>
      <c r="I71" s="5">
        <v>2443.48</v>
      </c>
      <c r="J71" s="7">
        <v>13</v>
      </c>
      <c r="K71" s="7">
        <v>0</v>
      </c>
      <c r="L71" t="s">
        <v>212</v>
      </c>
      <c r="M71" t="s">
        <v>19</v>
      </c>
      <c r="N71" s="7" t="str">
        <f t="shared" si="7"/>
        <v>MX</v>
      </c>
      <c r="O71" s="7" t="str">
        <f t="shared" si="5"/>
        <v>2012</v>
      </c>
      <c r="P71" t="str">
        <f t="shared" si="6"/>
        <v>41234</v>
      </c>
    </row>
    <row r="72" spans="1:16" x14ac:dyDescent="0.3">
      <c r="A72" t="s">
        <v>213</v>
      </c>
      <c r="B72" s="4">
        <v>41727</v>
      </c>
      <c r="C72" s="2">
        <v>41729</v>
      </c>
      <c r="D72" t="s">
        <v>214</v>
      </c>
      <c r="E72" t="s">
        <v>130</v>
      </c>
      <c r="F72" t="s">
        <v>131</v>
      </c>
      <c r="G72" t="s">
        <v>32</v>
      </c>
      <c r="H72" t="s">
        <v>23</v>
      </c>
      <c r="I72" s="5"/>
      <c r="J72" s="7">
        <v>8</v>
      </c>
      <c r="K72" s="7">
        <v>0</v>
      </c>
      <c r="L72">
        <v>1523.52</v>
      </c>
      <c r="M72" t="s">
        <v>37</v>
      </c>
      <c r="N72" s="7" t="str">
        <f t="shared" si="7"/>
        <v>CG</v>
      </c>
      <c r="O72" s="7" t="str">
        <f t="shared" si="5"/>
        <v>2014</v>
      </c>
      <c r="P72" t="str">
        <f t="shared" si="6"/>
        <v>41727</v>
      </c>
    </row>
    <row r="73" spans="1:16" x14ac:dyDescent="0.3">
      <c r="A73" t="s">
        <v>215</v>
      </c>
      <c r="B73" s="4">
        <v>42242</v>
      </c>
      <c r="C73" s="2">
        <v>42243</v>
      </c>
      <c r="D73" t="s">
        <v>216</v>
      </c>
      <c r="E73" t="s">
        <v>141</v>
      </c>
      <c r="F73" t="s">
        <v>142</v>
      </c>
      <c r="G73" t="s">
        <v>32</v>
      </c>
      <c r="H73" t="s">
        <v>73</v>
      </c>
      <c r="I73" s="5">
        <v>3427.1495999999902</v>
      </c>
      <c r="J73" s="7">
        <v>7</v>
      </c>
      <c r="K73" s="7"/>
      <c r="L73">
        <v>-452.81039999999899</v>
      </c>
      <c r="M73" t="s">
        <v>37</v>
      </c>
      <c r="N73" s="7" t="str">
        <f t="shared" si="7"/>
        <v>IN</v>
      </c>
      <c r="O73" s="7" t="str">
        <f t="shared" si="5"/>
        <v>2015</v>
      </c>
      <c r="P73" t="str">
        <f t="shared" si="6"/>
        <v>42242</v>
      </c>
    </row>
    <row r="74" spans="1:16" x14ac:dyDescent="0.3">
      <c r="A74" t="s">
        <v>217</v>
      </c>
      <c r="B74" s="4">
        <v>41537</v>
      </c>
      <c r="C74" s="2">
        <v>41539</v>
      </c>
      <c r="D74" t="s">
        <v>218</v>
      </c>
      <c r="E74" t="s">
        <v>93</v>
      </c>
      <c r="G74" t="s">
        <v>17</v>
      </c>
      <c r="H74" t="s">
        <v>23</v>
      </c>
      <c r="I74" s="5">
        <v>3441.69</v>
      </c>
      <c r="J74" s="7"/>
      <c r="K74" s="7">
        <v>0.1</v>
      </c>
      <c r="L74">
        <v>38.069999999999901</v>
      </c>
      <c r="M74" t="s">
        <v>37</v>
      </c>
      <c r="N74" s="7" t="str">
        <f t="shared" si="7"/>
        <v>ES</v>
      </c>
      <c r="O74" s="7" t="str">
        <f t="shared" si="5"/>
        <v>2013</v>
      </c>
      <c r="P74" t="str">
        <f t="shared" si="6"/>
        <v>41537</v>
      </c>
    </row>
    <row r="75" spans="1:16" x14ac:dyDescent="0.3">
      <c r="A75" t="s">
        <v>219</v>
      </c>
      <c r="B75" s="4">
        <v>42140</v>
      </c>
      <c r="C75" s="2">
        <v>42142</v>
      </c>
      <c r="D75" t="s">
        <v>161</v>
      </c>
      <c r="E75" t="s">
        <v>15</v>
      </c>
      <c r="F75" t="s">
        <v>16</v>
      </c>
      <c r="G75" t="s">
        <v>17</v>
      </c>
      <c r="H75" t="s">
        <v>44</v>
      </c>
      <c r="I75" s="5">
        <v>2863.35</v>
      </c>
      <c r="J75" s="7">
        <v>5</v>
      </c>
      <c r="K75" s="7">
        <v>0.1</v>
      </c>
      <c r="L75">
        <v>858.9</v>
      </c>
      <c r="M75" t="s">
        <v>220</v>
      </c>
      <c r="N75" s="7" t="str">
        <f t="shared" si="7"/>
        <v>IN</v>
      </c>
      <c r="O75" s="7" t="str">
        <f t="shared" si="5"/>
        <v>2015</v>
      </c>
      <c r="P75" t="str">
        <f t="shared" si="6"/>
        <v>42140</v>
      </c>
    </row>
    <row r="76" spans="1:16" x14ac:dyDescent="0.3">
      <c r="B76" s="4">
        <v>42218</v>
      </c>
      <c r="C76" s="2">
        <v>42224</v>
      </c>
      <c r="D76" t="s">
        <v>194</v>
      </c>
      <c r="E76" t="s">
        <v>40</v>
      </c>
      <c r="F76" t="s">
        <v>41</v>
      </c>
      <c r="G76" t="s">
        <v>17</v>
      </c>
      <c r="H76" t="s">
        <v>26</v>
      </c>
      <c r="I76" s="5"/>
      <c r="J76" s="7">
        <v>3</v>
      </c>
      <c r="K76" s="7">
        <v>0.4</v>
      </c>
      <c r="L76">
        <v>-263.99669999999998</v>
      </c>
      <c r="M76" t="s">
        <v>19</v>
      </c>
      <c r="N76" s="7" t="str">
        <f t="shared" si="7"/>
        <v/>
      </c>
      <c r="O76" s="7" t="str">
        <f t="shared" si="5"/>
        <v/>
      </c>
      <c r="P76" t="str">
        <f t="shared" si="6"/>
        <v/>
      </c>
    </row>
    <row r="77" spans="1:16" x14ac:dyDescent="0.3">
      <c r="A77" t="s">
        <v>221</v>
      </c>
      <c r="B77" s="4">
        <v>41967</v>
      </c>
      <c r="C77" s="2">
        <v>41968</v>
      </c>
      <c r="D77" t="s">
        <v>222</v>
      </c>
      <c r="F77" t="s">
        <v>71</v>
      </c>
      <c r="G77" t="s">
        <v>223</v>
      </c>
      <c r="H77" t="s">
        <v>26</v>
      </c>
      <c r="I77" s="5">
        <v>1487.4</v>
      </c>
      <c r="J77" s="7">
        <v>10</v>
      </c>
      <c r="K77" s="7">
        <v>0</v>
      </c>
      <c r="L77">
        <v>728.7</v>
      </c>
      <c r="M77" t="s">
        <v>27</v>
      </c>
      <c r="N77" s="7" t="str">
        <f t="shared" si="7"/>
        <v>ES</v>
      </c>
      <c r="O77" s="7" t="str">
        <f t="shared" si="5"/>
        <v>2014</v>
      </c>
      <c r="P77" t="str">
        <f t="shared" si="6"/>
        <v>41967</v>
      </c>
    </row>
    <row r="78" spans="1:16" x14ac:dyDescent="0.3">
      <c r="A78" t="s">
        <v>224</v>
      </c>
      <c r="B78" s="4">
        <v>41221</v>
      </c>
      <c r="C78" s="2">
        <v>41223</v>
      </c>
      <c r="D78" t="s">
        <v>225</v>
      </c>
      <c r="E78" t="s">
        <v>66</v>
      </c>
      <c r="F78" t="s">
        <v>90</v>
      </c>
      <c r="G78" t="s">
        <v>17</v>
      </c>
      <c r="H78" t="s">
        <v>46</v>
      </c>
      <c r="I78" s="5">
        <v>3200.04</v>
      </c>
      <c r="J78" s="7">
        <v>9</v>
      </c>
      <c r="K78" s="7" t="s">
        <v>226</v>
      </c>
      <c r="L78">
        <v>1183.95</v>
      </c>
      <c r="M78" t="s">
        <v>227</v>
      </c>
      <c r="N78" s="7" t="str">
        <f t="shared" si="7"/>
        <v>IN</v>
      </c>
      <c r="O78" s="7" t="str">
        <f t="shared" si="5"/>
        <v>2012</v>
      </c>
      <c r="P78" t="str">
        <f t="shared" si="6"/>
        <v>41221</v>
      </c>
    </row>
    <row r="79" spans="1:16" x14ac:dyDescent="0.3">
      <c r="A79" t="s">
        <v>228</v>
      </c>
      <c r="B79" s="4">
        <v>41209</v>
      </c>
      <c r="C79" s="2">
        <v>41209</v>
      </c>
      <c r="D79" t="s">
        <v>229</v>
      </c>
      <c r="E79" t="s">
        <v>114</v>
      </c>
      <c r="F79" t="s">
        <v>115</v>
      </c>
      <c r="H79" t="s">
        <v>33</v>
      </c>
      <c r="I79" s="5">
        <v>2300.99999999999</v>
      </c>
      <c r="J79" s="7">
        <v>5</v>
      </c>
      <c r="K79" s="7">
        <v>0</v>
      </c>
      <c r="L79">
        <v>91.95</v>
      </c>
      <c r="M79" t="s">
        <v>27</v>
      </c>
      <c r="N79" s="7" t="str">
        <f t="shared" si="7"/>
        <v>IN</v>
      </c>
      <c r="O79" s="7" t="str">
        <f t="shared" si="5"/>
        <v>2012</v>
      </c>
      <c r="P79" t="str">
        <f t="shared" si="6"/>
        <v>41209</v>
      </c>
    </row>
    <row r="80" spans="1:16" x14ac:dyDescent="0.3">
      <c r="B80" s="4">
        <v>42327</v>
      </c>
      <c r="C80" s="2">
        <v>42331</v>
      </c>
      <c r="D80" t="s">
        <v>230</v>
      </c>
      <c r="E80" t="s">
        <v>70</v>
      </c>
      <c r="F80" t="s">
        <v>71</v>
      </c>
      <c r="G80" t="s">
        <v>32</v>
      </c>
      <c r="H80" t="s">
        <v>33</v>
      </c>
      <c r="I80" s="5">
        <v>5729.3459999999905</v>
      </c>
      <c r="J80" s="7">
        <v>14</v>
      </c>
      <c r="K80" s="7">
        <v>0.1</v>
      </c>
      <c r="L80">
        <v>63.546000000000099</v>
      </c>
      <c r="M80" t="s">
        <v>37</v>
      </c>
      <c r="N80" s="7" t="str">
        <f t="shared" si="7"/>
        <v/>
      </c>
      <c r="O80" s="7" t="str">
        <f t="shared" si="5"/>
        <v/>
      </c>
      <c r="P80" t="str">
        <f t="shared" si="6"/>
        <v/>
      </c>
    </row>
    <row r="81" spans="1:16" x14ac:dyDescent="0.3">
      <c r="A81" t="s">
        <v>231</v>
      </c>
      <c r="B81" s="4">
        <v>42305</v>
      </c>
      <c r="C81" s="2">
        <v>42307</v>
      </c>
      <c r="D81" t="s">
        <v>126</v>
      </c>
      <c r="E81" t="s">
        <v>232</v>
      </c>
      <c r="F81" t="s">
        <v>233</v>
      </c>
      <c r="G81" t="s">
        <v>17</v>
      </c>
      <c r="H81" t="s">
        <v>23</v>
      </c>
      <c r="I81" s="5">
        <v>5301.24</v>
      </c>
      <c r="J81" s="7">
        <v>14</v>
      </c>
      <c r="K81" s="7">
        <v>0</v>
      </c>
      <c r="L81">
        <v>2597.2800000000002</v>
      </c>
      <c r="M81" t="s">
        <v>19</v>
      </c>
      <c r="N81" s="7" t="str">
        <f t="shared" si="7"/>
        <v>MO</v>
      </c>
      <c r="O81" s="7" t="str">
        <f t="shared" si="5"/>
        <v>2015</v>
      </c>
      <c r="P81" t="str">
        <f t="shared" si="6"/>
        <v>42305</v>
      </c>
    </row>
    <row r="82" spans="1:16" x14ac:dyDescent="0.3">
      <c r="B82" s="4">
        <v>41908</v>
      </c>
      <c r="C82" s="2">
        <v>41910</v>
      </c>
      <c r="D82" t="s">
        <v>194</v>
      </c>
      <c r="E82" t="s">
        <v>40</v>
      </c>
      <c r="F82" t="s">
        <v>43</v>
      </c>
      <c r="G82" t="s">
        <v>32</v>
      </c>
      <c r="H82" t="s">
        <v>23</v>
      </c>
      <c r="I82" s="5">
        <v>477.666</v>
      </c>
      <c r="J82" s="7">
        <v>2</v>
      </c>
      <c r="K82" s="7">
        <v>0.15</v>
      </c>
      <c r="L82">
        <v>84.293999999999897</v>
      </c>
      <c r="M82" t="s">
        <v>27</v>
      </c>
      <c r="N82" s="7" t="str">
        <f t="shared" si="7"/>
        <v/>
      </c>
      <c r="O82" s="7" t="str">
        <f t="shared" si="5"/>
        <v/>
      </c>
      <c r="P82" t="str">
        <f t="shared" si="6"/>
        <v/>
      </c>
    </row>
    <row r="83" spans="1:16" x14ac:dyDescent="0.3">
      <c r="A83" t="s">
        <v>234</v>
      </c>
      <c r="B83" s="4">
        <v>42252</v>
      </c>
      <c r="C83" s="2">
        <v>42253</v>
      </c>
      <c r="D83" t="s">
        <v>235</v>
      </c>
      <c r="E83" t="s">
        <v>40</v>
      </c>
      <c r="F83" t="s">
        <v>43</v>
      </c>
      <c r="G83" t="s">
        <v>45</v>
      </c>
      <c r="H83" t="s">
        <v>33</v>
      </c>
      <c r="I83" s="5">
        <v>88.073999999999998</v>
      </c>
      <c r="J83" s="7">
        <v>7</v>
      </c>
      <c r="K83" s="7">
        <v>0.7</v>
      </c>
      <c r="L83">
        <v>-58.715999999999902</v>
      </c>
      <c r="M83" t="s">
        <v>37</v>
      </c>
      <c r="N83" s="7" t="str">
        <f t="shared" si="7"/>
        <v>US</v>
      </c>
      <c r="O83" s="7" t="str">
        <f t="shared" si="5"/>
        <v>2015</v>
      </c>
      <c r="P83" t="str">
        <f t="shared" si="6"/>
        <v>42252</v>
      </c>
    </row>
    <row r="84" spans="1:16" x14ac:dyDescent="0.3">
      <c r="B84" s="4">
        <v>41668</v>
      </c>
      <c r="C84" s="2">
        <v>41675</v>
      </c>
      <c r="D84" t="s">
        <v>140</v>
      </c>
      <c r="E84" t="s">
        <v>22</v>
      </c>
      <c r="F84" t="s">
        <v>71</v>
      </c>
      <c r="G84" t="s">
        <v>17</v>
      </c>
      <c r="H84" t="s">
        <v>46</v>
      </c>
      <c r="I84" s="5">
        <v>3219.9</v>
      </c>
      <c r="J84" s="7">
        <v>5</v>
      </c>
      <c r="K84" s="7"/>
      <c r="L84">
        <v>965.85</v>
      </c>
      <c r="M84" t="s">
        <v>74</v>
      </c>
      <c r="N84" s="7" t="str">
        <f t="shared" si="7"/>
        <v/>
      </c>
      <c r="O84" s="7" t="str">
        <f t="shared" si="5"/>
        <v/>
      </c>
      <c r="P84" t="str">
        <f t="shared" si="6"/>
        <v/>
      </c>
    </row>
    <row r="85" spans="1:16" x14ac:dyDescent="0.3">
      <c r="A85" t="s">
        <v>236</v>
      </c>
      <c r="B85" s="4">
        <v>41535</v>
      </c>
      <c r="C85" s="2">
        <v>41538</v>
      </c>
      <c r="D85" t="s">
        <v>237</v>
      </c>
      <c r="E85" t="s">
        <v>141</v>
      </c>
      <c r="F85" t="s">
        <v>142</v>
      </c>
      <c r="G85" t="s">
        <v>45</v>
      </c>
      <c r="H85" t="s">
        <v>23</v>
      </c>
      <c r="I85" s="5">
        <v>2487.8087999999998</v>
      </c>
      <c r="J85" s="7"/>
      <c r="K85" s="7">
        <v>0.17</v>
      </c>
      <c r="L85">
        <v>-269.7912</v>
      </c>
      <c r="M85" t="s">
        <v>27</v>
      </c>
      <c r="N85" s="7" t="str">
        <f t="shared" si="7"/>
        <v>ID</v>
      </c>
      <c r="O85" s="7" t="str">
        <f t="shared" si="5"/>
        <v>2013</v>
      </c>
      <c r="P85" t="str">
        <f t="shared" si="6"/>
        <v>41535</v>
      </c>
    </row>
    <row r="86" spans="1:16" x14ac:dyDescent="0.3">
      <c r="A86" t="s">
        <v>238</v>
      </c>
      <c r="B86" s="4">
        <v>41966</v>
      </c>
      <c r="C86" s="2">
        <v>41966</v>
      </c>
      <c r="D86" t="s">
        <v>239</v>
      </c>
      <c r="E86" t="s">
        <v>232</v>
      </c>
      <c r="F86" t="s">
        <v>233</v>
      </c>
      <c r="G86" t="s">
        <v>45</v>
      </c>
      <c r="H86" t="s">
        <v>26</v>
      </c>
      <c r="I86" s="5">
        <v>2266.44</v>
      </c>
      <c r="J86" s="7">
        <v>4</v>
      </c>
      <c r="K86" s="7">
        <v>0</v>
      </c>
      <c r="L86">
        <v>113.28</v>
      </c>
      <c r="M86" t="s">
        <v>19</v>
      </c>
      <c r="N86" s="7" t="str">
        <f t="shared" si="7"/>
        <v>MO</v>
      </c>
      <c r="O86" s="7" t="str">
        <f t="shared" si="5"/>
        <v>2014</v>
      </c>
      <c r="P86" t="str">
        <f t="shared" si="6"/>
        <v>41966</v>
      </c>
    </row>
    <row r="87" spans="1:16" x14ac:dyDescent="0.3">
      <c r="B87" s="4">
        <v>41438</v>
      </c>
      <c r="C87" s="2">
        <v>41438</v>
      </c>
      <c r="D87" t="s">
        <v>240</v>
      </c>
      <c r="E87" t="s">
        <v>15</v>
      </c>
      <c r="F87" t="s">
        <v>16</v>
      </c>
      <c r="G87" t="s">
        <v>17</v>
      </c>
      <c r="H87" t="s">
        <v>73</v>
      </c>
      <c r="I87" s="5">
        <v>3068.3609999999999</v>
      </c>
      <c r="J87" s="7"/>
      <c r="K87" s="7">
        <v>0.1</v>
      </c>
      <c r="L87">
        <v>1124.9009999999901</v>
      </c>
      <c r="M87" t="s">
        <v>37</v>
      </c>
      <c r="N87" s="7" t="str">
        <f t="shared" si="7"/>
        <v/>
      </c>
      <c r="O87" s="7" t="str">
        <f t="shared" si="5"/>
        <v/>
      </c>
      <c r="P87" t="str">
        <f t="shared" si="6"/>
        <v/>
      </c>
    </row>
    <row r="88" spans="1:16" x14ac:dyDescent="0.3">
      <c r="A88" t="s">
        <v>241</v>
      </c>
      <c r="B88" s="4">
        <v>41940</v>
      </c>
      <c r="C88" s="2">
        <v>41943</v>
      </c>
      <c r="D88" t="s">
        <v>242</v>
      </c>
      <c r="E88" t="s">
        <v>184</v>
      </c>
      <c r="F88" t="s">
        <v>115</v>
      </c>
      <c r="G88" t="s">
        <v>32</v>
      </c>
      <c r="H88" t="s">
        <v>73</v>
      </c>
      <c r="I88" s="5">
        <v>3728.4299999999898</v>
      </c>
      <c r="J88" s="7">
        <v>9</v>
      </c>
      <c r="K88" s="7">
        <v>0</v>
      </c>
      <c r="L88">
        <v>1192.8599999999999</v>
      </c>
      <c r="M88" t="s">
        <v>19</v>
      </c>
      <c r="N88" s="7" t="str">
        <f t="shared" si="7"/>
        <v>IN</v>
      </c>
      <c r="O88" s="7" t="str">
        <f t="shared" si="5"/>
        <v>2014</v>
      </c>
      <c r="P88" t="str">
        <f t="shared" si="6"/>
        <v>41940</v>
      </c>
    </row>
    <row r="89" spans="1:16" x14ac:dyDescent="0.3">
      <c r="B89" s="4">
        <v>41985</v>
      </c>
      <c r="C89" s="2">
        <v>41987</v>
      </c>
      <c r="E89" t="s">
        <v>66</v>
      </c>
      <c r="F89" t="s">
        <v>90</v>
      </c>
      <c r="G89" t="s">
        <v>17</v>
      </c>
      <c r="H89" t="s">
        <v>33</v>
      </c>
      <c r="I89" s="5">
        <v>1581.48</v>
      </c>
      <c r="J89" s="7"/>
      <c r="K89" s="7">
        <v>0</v>
      </c>
      <c r="L89">
        <v>0</v>
      </c>
      <c r="M89" t="s">
        <v>37</v>
      </c>
      <c r="N89" s="7" t="str">
        <f t="shared" si="7"/>
        <v/>
      </c>
      <c r="O89" s="7" t="str">
        <f t="shared" si="5"/>
        <v/>
      </c>
      <c r="P89" t="str">
        <f t="shared" si="6"/>
        <v/>
      </c>
    </row>
    <row r="90" spans="1:16" x14ac:dyDescent="0.3">
      <c r="A90" t="s">
        <v>243</v>
      </c>
      <c r="B90" s="4">
        <v>41419</v>
      </c>
      <c r="C90" s="2">
        <v>41422</v>
      </c>
      <c r="D90" t="s">
        <v>178</v>
      </c>
      <c r="E90" t="s">
        <v>114</v>
      </c>
      <c r="F90" t="s">
        <v>115</v>
      </c>
      <c r="G90" t="s">
        <v>17</v>
      </c>
      <c r="H90" t="s">
        <v>151</v>
      </c>
      <c r="I90" s="5">
        <v>1916.73</v>
      </c>
      <c r="J90" s="7">
        <v>3</v>
      </c>
      <c r="K90" s="7">
        <v>0</v>
      </c>
      <c r="L90">
        <v>498.32999999999902</v>
      </c>
      <c r="M90" t="s">
        <v>27</v>
      </c>
      <c r="N90" s="7" t="str">
        <f t="shared" si="7"/>
        <v>IN</v>
      </c>
      <c r="O90" s="7" t="str">
        <f t="shared" si="5"/>
        <v>2013</v>
      </c>
      <c r="P90" t="str">
        <f t="shared" si="6"/>
        <v>41419</v>
      </c>
    </row>
    <row r="91" spans="1:16" x14ac:dyDescent="0.3">
      <c r="A91" t="s">
        <v>244</v>
      </c>
      <c r="B91" s="4">
        <v>42281</v>
      </c>
      <c r="C91" s="2">
        <v>42286</v>
      </c>
      <c r="D91" t="s">
        <v>194</v>
      </c>
      <c r="E91" t="s">
        <v>40</v>
      </c>
      <c r="F91" t="s">
        <v>245</v>
      </c>
      <c r="G91" t="s">
        <v>32</v>
      </c>
      <c r="H91" t="s">
        <v>33</v>
      </c>
      <c r="I91" s="5">
        <v>171.28800000000001</v>
      </c>
      <c r="J91" s="7">
        <v>3</v>
      </c>
      <c r="K91" s="7">
        <v>1.4339994914666701</v>
      </c>
      <c r="L91">
        <v>-6.4233000000000198</v>
      </c>
      <c r="M91" t="s">
        <v>19</v>
      </c>
      <c r="N91" s="7" t="str">
        <f t="shared" si="7"/>
        <v>CA</v>
      </c>
      <c r="O91" s="7" t="str">
        <f t="shared" si="5"/>
        <v>2015</v>
      </c>
      <c r="P91" t="str">
        <f t="shared" si="6"/>
        <v>42281</v>
      </c>
    </row>
    <row r="92" spans="1:16" x14ac:dyDescent="0.3">
      <c r="A92" t="s">
        <v>246</v>
      </c>
      <c r="B92" s="4">
        <v>41975</v>
      </c>
      <c r="D92" t="s">
        <v>247</v>
      </c>
      <c r="E92" t="s">
        <v>70</v>
      </c>
      <c r="F92" t="s">
        <v>71</v>
      </c>
      <c r="G92" t="s">
        <v>45</v>
      </c>
      <c r="H92" t="s">
        <v>26</v>
      </c>
      <c r="I92" s="5">
        <v>2432.16</v>
      </c>
      <c r="J92" s="7">
        <v>5</v>
      </c>
      <c r="K92" s="7">
        <v>0.1</v>
      </c>
      <c r="L92">
        <v>513.36</v>
      </c>
      <c r="M92" t="s">
        <v>27</v>
      </c>
      <c r="N92" s="7" t="str">
        <f t="shared" si="7"/>
        <v>ES</v>
      </c>
      <c r="O92" s="7" t="str">
        <f t="shared" si="5"/>
        <v>2014</v>
      </c>
      <c r="P92" t="str">
        <f t="shared" si="6"/>
        <v>41975</v>
      </c>
    </row>
    <row r="93" spans="1:16" x14ac:dyDescent="0.3">
      <c r="A93" t="s">
        <v>193</v>
      </c>
      <c r="B93" s="5"/>
      <c r="C93" s="2">
        <v>42009</v>
      </c>
      <c r="E93" t="s">
        <v>40</v>
      </c>
      <c r="F93" t="s">
        <v>153</v>
      </c>
      <c r="G93" t="s">
        <v>45</v>
      </c>
      <c r="H93" t="s">
        <v>44</v>
      </c>
      <c r="I93" s="5">
        <v>28.853999999999999</v>
      </c>
      <c r="J93" s="7">
        <v>6</v>
      </c>
      <c r="K93" s="7">
        <v>0.7</v>
      </c>
      <c r="L93">
        <v>-21.159599999999902</v>
      </c>
      <c r="M93" t="s">
        <v>37</v>
      </c>
      <c r="N93" s="7" t="str">
        <f t="shared" si="7"/>
        <v>CA</v>
      </c>
      <c r="O93" s="7" t="str">
        <f t="shared" si="5"/>
        <v>2015</v>
      </c>
      <c r="P93" t="str">
        <f t="shared" si="6"/>
        <v>42007</v>
      </c>
    </row>
    <row r="94" spans="1:16" x14ac:dyDescent="0.3">
      <c r="A94" t="s">
        <v>248</v>
      </c>
      <c r="B94" s="4">
        <v>41667</v>
      </c>
      <c r="C94" s="2">
        <v>41669</v>
      </c>
      <c r="D94" t="s">
        <v>249</v>
      </c>
      <c r="E94" t="s">
        <v>250</v>
      </c>
      <c r="F94" t="s">
        <v>142</v>
      </c>
      <c r="G94" t="s">
        <v>32</v>
      </c>
      <c r="H94" t="s">
        <v>73</v>
      </c>
      <c r="I94" s="5" t="s">
        <v>163</v>
      </c>
      <c r="J94" s="7">
        <v>7</v>
      </c>
      <c r="K94" s="7">
        <v>0.25</v>
      </c>
      <c r="L94" t="s">
        <v>251</v>
      </c>
      <c r="M94" t="s">
        <v>37</v>
      </c>
      <c r="N94" s="7" t="str">
        <f t="shared" si="7"/>
        <v>ID</v>
      </c>
      <c r="O94" s="7" t="str">
        <f t="shared" si="5"/>
        <v>2014</v>
      </c>
      <c r="P94" t="str">
        <f t="shared" si="6"/>
        <v>41667</v>
      </c>
    </row>
    <row r="95" spans="1:16" x14ac:dyDescent="0.3">
      <c r="A95" t="s">
        <v>252</v>
      </c>
      <c r="B95" s="4">
        <v>41401</v>
      </c>
      <c r="C95" s="2">
        <v>41401</v>
      </c>
      <c r="D95" t="s">
        <v>253</v>
      </c>
      <c r="F95" t="s">
        <v>16</v>
      </c>
      <c r="G95" t="s">
        <v>254</v>
      </c>
      <c r="H95" t="s">
        <v>26</v>
      </c>
      <c r="I95" s="5">
        <v>1847.51999999999</v>
      </c>
      <c r="J95" s="7">
        <v>2</v>
      </c>
      <c r="K95" s="7">
        <v>0</v>
      </c>
      <c r="L95">
        <v>738.96</v>
      </c>
      <c r="M95" t="s">
        <v>37</v>
      </c>
      <c r="N95" s="7" t="str">
        <f t="shared" si="7"/>
        <v>IN</v>
      </c>
      <c r="O95" s="7" t="str">
        <f t="shared" si="5"/>
        <v>2013</v>
      </c>
      <c r="P95" t="str">
        <f t="shared" si="6"/>
        <v>41401</v>
      </c>
    </row>
    <row r="96" spans="1:16" x14ac:dyDescent="0.3">
      <c r="B96" s="4">
        <v>41970</v>
      </c>
      <c r="C96" s="2">
        <v>41972</v>
      </c>
      <c r="D96" t="s">
        <v>255</v>
      </c>
      <c r="E96" t="s">
        <v>256</v>
      </c>
      <c r="F96" t="s">
        <v>71</v>
      </c>
      <c r="G96" t="s">
        <v>32</v>
      </c>
      <c r="H96" t="s">
        <v>23</v>
      </c>
      <c r="I96" s="5">
        <v>2899.8899999999899</v>
      </c>
      <c r="J96" s="7">
        <v>7</v>
      </c>
      <c r="K96" s="7">
        <v>0</v>
      </c>
      <c r="L96">
        <v>927.78</v>
      </c>
      <c r="M96" t="s">
        <v>37</v>
      </c>
      <c r="N96" s="7" t="str">
        <f t="shared" si="7"/>
        <v/>
      </c>
      <c r="O96" s="7" t="str">
        <f t="shared" si="5"/>
        <v/>
      </c>
      <c r="P96" t="str">
        <f t="shared" si="6"/>
        <v/>
      </c>
    </row>
    <row r="97" spans="1:16" x14ac:dyDescent="0.3">
      <c r="A97" t="s">
        <v>257</v>
      </c>
      <c r="B97" s="4">
        <v>41606</v>
      </c>
      <c r="C97" s="2">
        <v>41610</v>
      </c>
      <c r="D97" t="s">
        <v>247</v>
      </c>
      <c r="E97" t="s">
        <v>15</v>
      </c>
      <c r="F97" t="s">
        <v>16</v>
      </c>
      <c r="G97" t="s">
        <v>32</v>
      </c>
      <c r="H97" t="s">
        <v>44</v>
      </c>
      <c r="I97" s="5">
        <v>2891.6999999999898</v>
      </c>
      <c r="J97" s="7">
        <v>7</v>
      </c>
      <c r="K97" s="7">
        <v>0.1</v>
      </c>
      <c r="L97">
        <v>96.39</v>
      </c>
      <c r="M97" t="s">
        <v>19</v>
      </c>
      <c r="N97" s="7" t="str">
        <f t="shared" si="7"/>
        <v>IN</v>
      </c>
      <c r="O97" s="7" t="str">
        <f t="shared" si="5"/>
        <v>2013</v>
      </c>
      <c r="P97" t="str">
        <f t="shared" si="6"/>
        <v>41606</v>
      </c>
    </row>
    <row r="98" spans="1:16" x14ac:dyDescent="0.3">
      <c r="A98" t="s">
        <v>258</v>
      </c>
      <c r="B98" s="4">
        <v>41546</v>
      </c>
      <c r="C98" s="2">
        <v>41546</v>
      </c>
      <c r="D98" t="s">
        <v>259</v>
      </c>
      <c r="E98" t="s">
        <v>70</v>
      </c>
      <c r="F98" t="s">
        <v>71</v>
      </c>
      <c r="G98" t="s">
        <v>17</v>
      </c>
      <c r="H98" t="s">
        <v>151</v>
      </c>
      <c r="I98" s="5">
        <v>2016.846</v>
      </c>
      <c r="J98" s="7">
        <v>9</v>
      </c>
      <c r="K98" s="7">
        <v>0.15</v>
      </c>
      <c r="L98">
        <v>-5.4000000000030399E-2</v>
      </c>
      <c r="M98" t="s">
        <v>27</v>
      </c>
      <c r="N98" s="7" t="str">
        <f t="shared" si="7"/>
        <v>IT</v>
      </c>
      <c r="O98" s="7" t="str">
        <f t="shared" si="5"/>
        <v>2013</v>
      </c>
      <c r="P98" t="str">
        <f t="shared" si="6"/>
        <v>41546</v>
      </c>
    </row>
    <row r="99" spans="1:16" x14ac:dyDescent="0.3">
      <c r="A99" t="s">
        <v>260</v>
      </c>
      <c r="B99" s="6">
        <v>41707</v>
      </c>
      <c r="C99" s="2">
        <v>41887</v>
      </c>
      <c r="D99" t="s">
        <v>261</v>
      </c>
      <c r="E99" t="s">
        <v>70</v>
      </c>
      <c r="F99" t="s">
        <v>71</v>
      </c>
      <c r="G99" t="s">
        <v>45</v>
      </c>
      <c r="H99" t="s">
        <v>23</v>
      </c>
      <c r="I99" s="5">
        <v>3155.5439999999999</v>
      </c>
      <c r="J99" s="7">
        <v>7</v>
      </c>
      <c r="K99" s="7">
        <v>0.1</v>
      </c>
      <c r="L99">
        <v>34.944000000000003</v>
      </c>
      <c r="M99" t="s">
        <v>37</v>
      </c>
      <c r="N99" s="7" t="str">
        <f t="shared" si="7"/>
        <v>ES</v>
      </c>
      <c r="O99" s="7" t="str">
        <f t="shared" si="5"/>
        <v>2014</v>
      </c>
      <c r="P99" t="str">
        <f t="shared" si="6"/>
        <v>41885</v>
      </c>
    </row>
    <row r="100" spans="1:16" x14ac:dyDescent="0.3">
      <c r="A100" t="s">
        <v>262</v>
      </c>
      <c r="B100" s="4">
        <v>41846</v>
      </c>
      <c r="C100" s="2">
        <v>41852</v>
      </c>
      <c r="D100" t="s">
        <v>263</v>
      </c>
      <c r="E100" t="s">
        <v>130</v>
      </c>
      <c r="F100" t="s">
        <v>264</v>
      </c>
      <c r="G100" t="s">
        <v>17</v>
      </c>
      <c r="H100" t="s">
        <v>127</v>
      </c>
      <c r="I100" s="5">
        <v>3856.1399999999899</v>
      </c>
      <c r="J100" s="7">
        <v>6</v>
      </c>
      <c r="K100" s="7">
        <v>0</v>
      </c>
      <c r="M100" t="s">
        <v>74</v>
      </c>
      <c r="N100" s="7" t="str">
        <f t="shared" si="7"/>
        <v>CG</v>
      </c>
      <c r="O100" s="7" t="str">
        <f t="shared" si="5"/>
        <v>2014</v>
      </c>
      <c r="P100" t="str">
        <f t="shared" si="6"/>
        <v>41846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509D3-A0A0-44CF-A04D-1DAB9F899C4E}">
  <dimension ref="A1:O100"/>
  <sheetViews>
    <sheetView topLeftCell="B1" workbookViewId="0">
      <selection activeCell="O8" sqref="O8"/>
    </sheetView>
  </sheetViews>
  <sheetFormatPr defaultRowHeight="14.4" x14ac:dyDescent="0.3"/>
  <cols>
    <col min="1" max="1" width="24" customWidth="1"/>
    <col min="2" max="2" width="15.44140625" customWidth="1"/>
    <col min="3" max="3" width="16.21875" customWidth="1"/>
    <col min="4" max="4" width="15.77734375" customWidth="1"/>
    <col min="5" max="5" width="13.77734375" customWidth="1"/>
    <col min="6" max="6" width="14.33203125" customWidth="1"/>
    <col min="7" max="7" width="13.33203125" customWidth="1"/>
    <col min="8" max="9" width="10.21875" customWidth="1"/>
    <col min="12" max="12" width="15.21875" customWidth="1"/>
    <col min="13" max="13" width="19.109375" customWidth="1"/>
    <col min="14" max="14" width="15.33203125" customWidth="1"/>
    <col min="15" max="15" width="19" customWidth="1"/>
    <col min="16" max="16" width="16.77734375" customWidth="1"/>
    <col min="17" max="17" width="20.44140625" customWidth="1"/>
  </cols>
  <sheetData>
    <row r="1" spans="1:15" ht="15.6" x14ac:dyDescent="0.3">
      <c r="A1" s="1" t="s">
        <v>0</v>
      </c>
      <c r="B1" s="8" t="s">
        <v>1</v>
      </c>
      <c r="C1" s="8" t="s">
        <v>2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273</v>
      </c>
      <c r="L1" s="8" t="s">
        <v>274</v>
      </c>
      <c r="M1" s="8" t="s">
        <v>272</v>
      </c>
      <c r="N1" s="8" t="s">
        <v>384</v>
      </c>
      <c r="O1" s="9" t="s">
        <v>404</v>
      </c>
    </row>
    <row r="2" spans="1:15" x14ac:dyDescent="0.3">
      <c r="A2" t="s">
        <v>13</v>
      </c>
      <c r="B2" s="2">
        <v>41929</v>
      </c>
      <c r="C2" s="2">
        <v>41930</v>
      </c>
      <c r="D2" t="s">
        <v>16</v>
      </c>
      <c r="E2" t="s">
        <v>17</v>
      </c>
      <c r="F2" t="s">
        <v>18</v>
      </c>
      <c r="G2">
        <v>5175.1710000000003</v>
      </c>
      <c r="H2">
        <v>9</v>
      </c>
      <c r="I2">
        <v>0.1</v>
      </c>
      <c r="J2">
        <v>919.97099999999898</v>
      </c>
      <c r="K2" t="s">
        <v>19</v>
      </c>
      <c r="L2" t="s">
        <v>278</v>
      </c>
      <c r="M2" t="s">
        <v>279</v>
      </c>
      <c r="N2" t="s">
        <v>14</v>
      </c>
      <c r="O2" t="s">
        <v>276</v>
      </c>
    </row>
    <row r="3" spans="1:15" x14ac:dyDescent="0.3">
      <c r="A3" t="s">
        <v>20</v>
      </c>
      <c r="B3" s="2">
        <v>41667</v>
      </c>
      <c r="C3" s="2">
        <v>41669</v>
      </c>
      <c r="E3" t="s">
        <v>17</v>
      </c>
      <c r="F3" t="s">
        <v>23</v>
      </c>
      <c r="G3">
        <v>2892.5099999999902</v>
      </c>
      <c r="H3">
        <v>5</v>
      </c>
      <c r="I3">
        <v>0.1</v>
      </c>
      <c r="J3">
        <v>-96.54</v>
      </c>
      <c r="L3" t="s">
        <v>280</v>
      </c>
      <c r="M3" t="s">
        <v>281</v>
      </c>
      <c r="N3" t="s">
        <v>21</v>
      </c>
      <c r="O3" t="s">
        <v>275</v>
      </c>
    </row>
    <row r="4" spans="1:15" x14ac:dyDescent="0.3">
      <c r="B4" s="2">
        <v>41948</v>
      </c>
      <c r="C4" s="2">
        <v>41949</v>
      </c>
      <c r="D4" t="s">
        <v>25</v>
      </c>
      <c r="E4" t="s">
        <v>17</v>
      </c>
      <c r="F4" t="s">
        <v>26</v>
      </c>
      <c r="G4">
        <v>2832.96</v>
      </c>
      <c r="H4">
        <v>8</v>
      </c>
      <c r="I4">
        <v>0</v>
      </c>
      <c r="J4">
        <v>311.52</v>
      </c>
      <c r="K4" t="s">
        <v>27</v>
      </c>
      <c r="L4" t="s">
        <v>282</v>
      </c>
      <c r="M4" t="s">
        <v>283</v>
      </c>
      <c r="N4" t="s">
        <v>24</v>
      </c>
      <c r="O4" t="s">
        <v>277</v>
      </c>
    </row>
    <row r="5" spans="1:15" x14ac:dyDescent="0.3">
      <c r="A5" t="s">
        <v>28</v>
      </c>
      <c r="B5" s="2">
        <v>41818</v>
      </c>
      <c r="C5" s="2">
        <v>41821</v>
      </c>
      <c r="D5" t="s">
        <v>16</v>
      </c>
      <c r="E5" t="s">
        <v>17</v>
      </c>
      <c r="F5" t="s">
        <v>26</v>
      </c>
      <c r="G5">
        <v>2862.6750000000002</v>
      </c>
      <c r="H5">
        <v>5</v>
      </c>
      <c r="I5">
        <v>0.1</v>
      </c>
      <c r="J5">
        <v>763.27499999999998</v>
      </c>
      <c r="K5" t="s">
        <v>27</v>
      </c>
      <c r="L5" t="s">
        <v>278</v>
      </c>
      <c r="M5" t="s">
        <v>284</v>
      </c>
      <c r="N5" t="s">
        <v>29</v>
      </c>
    </row>
    <row r="6" spans="1:15" x14ac:dyDescent="0.3">
      <c r="B6" s="2">
        <v>41219</v>
      </c>
      <c r="C6" s="2">
        <v>41221</v>
      </c>
      <c r="D6" t="s">
        <v>16</v>
      </c>
      <c r="E6" t="s">
        <v>32</v>
      </c>
      <c r="F6" t="s">
        <v>33</v>
      </c>
      <c r="G6">
        <v>1822.0799999999899</v>
      </c>
      <c r="H6">
        <v>4</v>
      </c>
      <c r="I6">
        <v>0</v>
      </c>
      <c r="J6">
        <v>564.84</v>
      </c>
      <c r="K6" t="s">
        <v>27</v>
      </c>
      <c r="L6" t="s">
        <v>285</v>
      </c>
      <c r="M6" t="s">
        <v>286</v>
      </c>
      <c r="N6" t="s">
        <v>30</v>
      </c>
    </row>
    <row r="7" spans="1:15" x14ac:dyDescent="0.3">
      <c r="A7" t="s">
        <v>34</v>
      </c>
      <c r="D7" t="s">
        <v>16</v>
      </c>
      <c r="E7" t="s">
        <v>32</v>
      </c>
      <c r="F7" t="s">
        <v>26</v>
      </c>
      <c r="G7">
        <v>5244.84</v>
      </c>
      <c r="H7" t="s">
        <v>36</v>
      </c>
      <c r="I7">
        <v>0</v>
      </c>
      <c r="J7">
        <v>996.479999999999</v>
      </c>
      <c r="K7" t="s">
        <v>37</v>
      </c>
      <c r="L7" t="s">
        <v>285</v>
      </c>
      <c r="M7" t="s">
        <v>287</v>
      </c>
      <c r="N7" t="s">
        <v>35</v>
      </c>
    </row>
    <row r="8" spans="1:15" x14ac:dyDescent="0.3">
      <c r="A8" t="s">
        <v>38</v>
      </c>
      <c r="B8" s="2">
        <v>41954</v>
      </c>
      <c r="C8" s="2">
        <v>41956</v>
      </c>
      <c r="D8" t="s">
        <v>41</v>
      </c>
      <c r="E8" t="s">
        <v>32</v>
      </c>
      <c r="F8" t="s">
        <v>23</v>
      </c>
      <c r="G8">
        <v>341.96</v>
      </c>
      <c r="H8">
        <v>2</v>
      </c>
      <c r="I8">
        <v>0</v>
      </c>
      <c r="J8">
        <v>54.7135999999999</v>
      </c>
      <c r="K8" t="s">
        <v>37</v>
      </c>
      <c r="L8" t="s">
        <v>288</v>
      </c>
      <c r="M8" t="s">
        <v>289</v>
      </c>
      <c r="N8" t="s">
        <v>39</v>
      </c>
    </row>
    <row r="9" spans="1:15" x14ac:dyDescent="0.3">
      <c r="A9" t="s">
        <v>42</v>
      </c>
      <c r="B9" s="2">
        <v>40974</v>
      </c>
      <c r="C9" s="2">
        <v>40975</v>
      </c>
      <c r="D9" t="s">
        <v>43</v>
      </c>
      <c r="E9" t="s">
        <v>32</v>
      </c>
      <c r="F9" t="s">
        <v>44</v>
      </c>
      <c r="G9">
        <v>48.712000000000003</v>
      </c>
      <c r="H9">
        <v>1</v>
      </c>
      <c r="J9">
        <v>5.4800999999999904</v>
      </c>
      <c r="K9" t="s">
        <v>37</v>
      </c>
      <c r="L9" t="s">
        <v>288</v>
      </c>
      <c r="M9" t="s">
        <v>289</v>
      </c>
      <c r="N9" t="s">
        <v>39</v>
      </c>
    </row>
    <row r="10" spans="1:15" x14ac:dyDescent="0.3">
      <c r="A10" t="s">
        <v>42</v>
      </c>
      <c r="B10" s="2">
        <v>40974</v>
      </c>
      <c r="C10" s="2">
        <v>40975</v>
      </c>
      <c r="D10" t="s">
        <v>43</v>
      </c>
      <c r="E10" t="s">
        <v>45</v>
      </c>
      <c r="F10" t="s">
        <v>46</v>
      </c>
      <c r="G10" t="s">
        <v>47</v>
      </c>
      <c r="H10">
        <v>3</v>
      </c>
      <c r="I10">
        <v>0</v>
      </c>
      <c r="J10">
        <v>26.647123533229099</v>
      </c>
      <c r="K10" t="s">
        <v>37</v>
      </c>
      <c r="L10" t="s">
        <v>282</v>
      </c>
      <c r="M10" t="s">
        <v>289</v>
      </c>
      <c r="N10" t="s">
        <v>39</v>
      </c>
    </row>
    <row r="11" spans="1:15" x14ac:dyDescent="0.3">
      <c r="A11" t="s">
        <v>48</v>
      </c>
      <c r="B11" s="2">
        <v>41383</v>
      </c>
      <c r="C11" t="s">
        <v>49</v>
      </c>
      <c r="D11" t="s">
        <v>52</v>
      </c>
      <c r="E11" t="s">
        <v>32</v>
      </c>
      <c r="F11" t="s">
        <v>44</v>
      </c>
      <c r="G11">
        <v>4626.1499999999996</v>
      </c>
      <c r="H11">
        <v>5</v>
      </c>
      <c r="I11">
        <v>0</v>
      </c>
      <c r="K11" t="s">
        <v>37</v>
      </c>
      <c r="L11" t="s">
        <v>290</v>
      </c>
      <c r="M11" t="s">
        <v>291</v>
      </c>
      <c r="N11" t="s">
        <v>50</v>
      </c>
    </row>
    <row r="12" spans="1:15" x14ac:dyDescent="0.3">
      <c r="A12" t="s">
        <v>53</v>
      </c>
      <c r="B12" s="2">
        <v>41269</v>
      </c>
      <c r="D12" t="s">
        <v>56</v>
      </c>
      <c r="E12" t="s">
        <v>17</v>
      </c>
      <c r="F12" t="s">
        <v>57</v>
      </c>
      <c r="G12">
        <v>2616.96</v>
      </c>
      <c r="H12">
        <v>4</v>
      </c>
      <c r="I12">
        <v>0</v>
      </c>
      <c r="J12">
        <v>1151.4000000000001</v>
      </c>
      <c r="K12" t="s">
        <v>27</v>
      </c>
      <c r="L12" t="s">
        <v>292</v>
      </c>
      <c r="M12" t="s">
        <v>293</v>
      </c>
      <c r="N12" t="s">
        <v>54</v>
      </c>
    </row>
    <row r="13" spans="1:15" x14ac:dyDescent="0.3">
      <c r="A13" t="s">
        <v>58</v>
      </c>
      <c r="B13" s="2">
        <v>41591</v>
      </c>
      <c r="C13" s="2">
        <v>41591</v>
      </c>
      <c r="D13" t="s">
        <v>61</v>
      </c>
      <c r="E13" t="s">
        <v>32</v>
      </c>
      <c r="F13" t="s">
        <v>44</v>
      </c>
      <c r="G13" t="s">
        <v>62</v>
      </c>
      <c r="H13" t="s">
        <v>63</v>
      </c>
      <c r="I13">
        <v>0</v>
      </c>
      <c r="J13">
        <v>622.02</v>
      </c>
      <c r="K13" t="s">
        <v>27</v>
      </c>
      <c r="L13" t="s">
        <v>294</v>
      </c>
      <c r="M13" t="s">
        <v>295</v>
      </c>
      <c r="N13" t="s">
        <v>59</v>
      </c>
    </row>
    <row r="14" spans="1:15" x14ac:dyDescent="0.3">
      <c r="A14" t="s">
        <v>64</v>
      </c>
      <c r="B14" s="2">
        <v>41796</v>
      </c>
      <c r="C14" s="2">
        <v>41798</v>
      </c>
      <c r="D14" t="s">
        <v>67</v>
      </c>
      <c r="E14" t="s">
        <v>45</v>
      </c>
      <c r="F14" t="s">
        <v>26</v>
      </c>
      <c r="G14">
        <v>3701.51999999999</v>
      </c>
      <c r="H14">
        <v>12</v>
      </c>
      <c r="I14">
        <v>0</v>
      </c>
      <c r="J14">
        <v>1036.08</v>
      </c>
      <c r="K14" t="s">
        <v>27</v>
      </c>
      <c r="L14" t="s">
        <v>296</v>
      </c>
      <c r="M14" t="s">
        <v>297</v>
      </c>
      <c r="N14" t="s">
        <v>65</v>
      </c>
    </row>
    <row r="15" spans="1:15" x14ac:dyDescent="0.3">
      <c r="A15" t="s">
        <v>68</v>
      </c>
      <c r="B15" s="2">
        <v>42216</v>
      </c>
      <c r="C15" s="2">
        <v>42219</v>
      </c>
      <c r="D15" t="s">
        <v>71</v>
      </c>
      <c r="E15" t="s">
        <v>45</v>
      </c>
      <c r="F15" t="s">
        <v>23</v>
      </c>
      <c r="G15">
        <v>1869.58799999999</v>
      </c>
      <c r="H15">
        <v>4</v>
      </c>
      <c r="I15">
        <v>0.1</v>
      </c>
      <c r="K15" t="s">
        <v>27</v>
      </c>
      <c r="L15" t="s">
        <v>298</v>
      </c>
      <c r="M15" t="s">
        <v>299</v>
      </c>
      <c r="N15" t="s">
        <v>69</v>
      </c>
    </row>
    <row r="16" spans="1:15" x14ac:dyDescent="0.3">
      <c r="A16" t="s">
        <v>72</v>
      </c>
      <c r="B16" s="2">
        <v>40958</v>
      </c>
      <c r="C16" s="2">
        <v>40964</v>
      </c>
      <c r="D16" t="s">
        <v>41</v>
      </c>
      <c r="E16" t="s">
        <v>45</v>
      </c>
      <c r="F16" t="s">
        <v>73</v>
      </c>
      <c r="G16">
        <v>12.624000000000001</v>
      </c>
      <c r="H16">
        <v>2</v>
      </c>
      <c r="I16">
        <v>0.2</v>
      </c>
      <c r="J16">
        <v>-2.5247999999999999</v>
      </c>
      <c r="K16" t="s">
        <v>74</v>
      </c>
      <c r="L16" t="s">
        <v>288</v>
      </c>
      <c r="M16" t="s">
        <v>289</v>
      </c>
      <c r="N16" t="s">
        <v>39</v>
      </c>
    </row>
    <row r="17" spans="1:14" x14ac:dyDescent="0.3">
      <c r="A17" t="s">
        <v>75</v>
      </c>
      <c r="B17" s="2">
        <v>42255</v>
      </c>
      <c r="C17" s="2">
        <v>42261</v>
      </c>
      <c r="D17" t="s">
        <v>77</v>
      </c>
      <c r="E17" t="s">
        <v>45</v>
      </c>
      <c r="F17" t="s">
        <v>73</v>
      </c>
      <c r="G17" t="s">
        <v>78</v>
      </c>
      <c r="H17">
        <v>14</v>
      </c>
      <c r="I17">
        <v>0</v>
      </c>
      <c r="J17">
        <v>3979.0799999999899</v>
      </c>
      <c r="K17" t="s">
        <v>74</v>
      </c>
      <c r="L17" t="s">
        <v>300</v>
      </c>
      <c r="M17" t="s">
        <v>282</v>
      </c>
      <c r="N17" t="s">
        <v>282</v>
      </c>
    </row>
    <row r="18" spans="1:14" x14ac:dyDescent="0.3">
      <c r="A18" t="s">
        <v>79</v>
      </c>
      <c r="B18" s="2">
        <v>42035</v>
      </c>
      <c r="C18" s="2">
        <v>42036</v>
      </c>
      <c r="D18" t="s">
        <v>16</v>
      </c>
      <c r="F18" t="s">
        <v>18</v>
      </c>
      <c r="G18">
        <v>2565.5940000000001</v>
      </c>
      <c r="H18">
        <v>9</v>
      </c>
      <c r="K18" t="s">
        <v>27</v>
      </c>
      <c r="L18" t="s">
        <v>278</v>
      </c>
      <c r="M18" t="s">
        <v>301</v>
      </c>
      <c r="N18" t="s">
        <v>80</v>
      </c>
    </row>
    <row r="19" spans="1:14" x14ac:dyDescent="0.3">
      <c r="A19" t="s">
        <v>81</v>
      </c>
      <c r="B19" s="2">
        <v>42343</v>
      </c>
      <c r="C19" s="2">
        <v>42345</v>
      </c>
      <c r="D19" t="s">
        <v>84</v>
      </c>
      <c r="E19" t="s">
        <v>45</v>
      </c>
      <c r="F19" t="s">
        <v>73</v>
      </c>
      <c r="G19">
        <v>3409.74</v>
      </c>
      <c r="H19">
        <v>6</v>
      </c>
      <c r="I19">
        <v>0</v>
      </c>
      <c r="J19">
        <v>818.28</v>
      </c>
      <c r="K19" t="s">
        <v>37</v>
      </c>
      <c r="L19" t="s">
        <v>302</v>
      </c>
      <c r="M19" t="s">
        <v>303</v>
      </c>
      <c r="N19" t="s">
        <v>82</v>
      </c>
    </row>
    <row r="20" spans="1:14" x14ac:dyDescent="0.3">
      <c r="A20" t="s">
        <v>85</v>
      </c>
      <c r="B20" s="2">
        <v>41494</v>
      </c>
      <c r="C20" s="2">
        <v>41496</v>
      </c>
      <c r="D20" t="s">
        <v>87</v>
      </c>
      <c r="E20" t="s">
        <v>32</v>
      </c>
      <c r="F20" t="s">
        <v>33</v>
      </c>
      <c r="G20">
        <v>1977.71999999999</v>
      </c>
      <c r="H20">
        <v>4</v>
      </c>
      <c r="I20">
        <v>0</v>
      </c>
      <c r="J20">
        <v>276.83999999999997</v>
      </c>
      <c r="K20" t="s">
        <v>27</v>
      </c>
      <c r="L20" t="s">
        <v>282</v>
      </c>
      <c r="M20" t="s">
        <v>304</v>
      </c>
      <c r="N20" t="s">
        <v>86</v>
      </c>
    </row>
    <row r="21" spans="1:14" x14ac:dyDescent="0.3">
      <c r="A21" t="s">
        <v>42</v>
      </c>
      <c r="B21" s="2">
        <v>40974</v>
      </c>
      <c r="C21" s="2">
        <v>40975</v>
      </c>
      <c r="D21" t="s">
        <v>43</v>
      </c>
      <c r="E21" t="s">
        <v>45</v>
      </c>
      <c r="F21" t="s">
        <v>73</v>
      </c>
      <c r="G21">
        <v>242.94</v>
      </c>
      <c r="H21">
        <v>3</v>
      </c>
      <c r="I21">
        <v>0</v>
      </c>
      <c r="J21">
        <v>4.8588000000000102</v>
      </c>
      <c r="K21" t="s">
        <v>37</v>
      </c>
      <c r="L21" t="s">
        <v>288</v>
      </c>
      <c r="M21" t="s">
        <v>289</v>
      </c>
      <c r="N21" t="s">
        <v>39</v>
      </c>
    </row>
    <row r="22" spans="1:14" x14ac:dyDescent="0.3">
      <c r="A22" t="s">
        <v>88</v>
      </c>
      <c r="B22" s="2">
        <v>41030</v>
      </c>
      <c r="C22" s="2">
        <v>41031</v>
      </c>
      <c r="D22" t="s">
        <v>90</v>
      </c>
      <c r="E22" t="s">
        <v>32</v>
      </c>
      <c r="F22" t="s">
        <v>44</v>
      </c>
      <c r="G22">
        <v>2753.99999999999</v>
      </c>
      <c r="H22">
        <v>6</v>
      </c>
      <c r="I22">
        <v>0</v>
      </c>
      <c r="J22">
        <v>358.02</v>
      </c>
      <c r="K22" t="s">
        <v>27</v>
      </c>
      <c r="L22" t="s">
        <v>296</v>
      </c>
      <c r="M22" t="s">
        <v>305</v>
      </c>
      <c r="N22" t="s">
        <v>89</v>
      </c>
    </row>
    <row r="23" spans="1:14" x14ac:dyDescent="0.3">
      <c r="A23" t="s">
        <v>91</v>
      </c>
      <c r="B23" s="2">
        <v>41697</v>
      </c>
      <c r="C23" s="2">
        <v>41699</v>
      </c>
      <c r="D23" t="s">
        <v>94</v>
      </c>
      <c r="E23" t="s">
        <v>45</v>
      </c>
      <c r="F23" t="s">
        <v>26</v>
      </c>
      <c r="G23">
        <v>5273.7</v>
      </c>
      <c r="H23">
        <v>10</v>
      </c>
      <c r="J23">
        <v>1898.4</v>
      </c>
      <c r="K23" t="s">
        <v>37</v>
      </c>
      <c r="L23" t="s">
        <v>306</v>
      </c>
      <c r="M23" t="s">
        <v>307</v>
      </c>
      <c r="N23" t="s">
        <v>92</v>
      </c>
    </row>
    <row r="24" spans="1:14" x14ac:dyDescent="0.3">
      <c r="A24" t="s">
        <v>95</v>
      </c>
      <c r="B24" s="2">
        <v>42216</v>
      </c>
      <c r="C24" s="2">
        <v>42217</v>
      </c>
      <c r="D24" t="s">
        <v>98</v>
      </c>
      <c r="E24" t="s">
        <v>17</v>
      </c>
      <c r="F24" t="s">
        <v>23</v>
      </c>
      <c r="G24">
        <v>1713.84</v>
      </c>
      <c r="H24">
        <v>4</v>
      </c>
      <c r="I24">
        <v>0</v>
      </c>
      <c r="J24">
        <v>445.52</v>
      </c>
      <c r="K24" t="s">
        <v>27</v>
      </c>
      <c r="L24" t="s">
        <v>308</v>
      </c>
      <c r="M24" t="s">
        <v>309</v>
      </c>
      <c r="N24" t="s">
        <v>96</v>
      </c>
    </row>
    <row r="25" spans="1:14" x14ac:dyDescent="0.3">
      <c r="A25" t="s">
        <v>99</v>
      </c>
      <c r="B25" s="2">
        <v>42252</v>
      </c>
      <c r="C25" s="2">
        <v>42255</v>
      </c>
      <c r="D25" t="s">
        <v>98</v>
      </c>
      <c r="E25" t="s">
        <v>32</v>
      </c>
      <c r="F25" t="s">
        <v>73</v>
      </c>
      <c r="G25">
        <v>2106.4960000000001</v>
      </c>
      <c r="H25">
        <v>8</v>
      </c>
      <c r="I25">
        <v>0.2</v>
      </c>
      <c r="J25">
        <v>526.49599999999998</v>
      </c>
      <c r="K25" t="s">
        <v>27</v>
      </c>
      <c r="L25" t="s">
        <v>310</v>
      </c>
      <c r="M25" t="s">
        <v>311</v>
      </c>
      <c r="N25" t="s">
        <v>100</v>
      </c>
    </row>
    <row r="26" spans="1:14" x14ac:dyDescent="0.3">
      <c r="A26" t="s">
        <v>102</v>
      </c>
      <c r="B26" s="2">
        <v>41259</v>
      </c>
      <c r="C26" s="2">
        <v>41262</v>
      </c>
      <c r="D26" t="s">
        <v>90</v>
      </c>
      <c r="E26" t="s">
        <v>32</v>
      </c>
      <c r="F26" t="s">
        <v>26</v>
      </c>
      <c r="G26">
        <v>1715.1599999999901</v>
      </c>
      <c r="I26">
        <v>0</v>
      </c>
      <c r="J26">
        <v>720.36</v>
      </c>
      <c r="K26" t="s">
        <v>27</v>
      </c>
      <c r="L26" t="s">
        <v>312</v>
      </c>
      <c r="M26" t="s">
        <v>313</v>
      </c>
      <c r="N26" t="s">
        <v>103</v>
      </c>
    </row>
    <row r="27" spans="1:14" x14ac:dyDescent="0.3">
      <c r="A27" t="s">
        <v>105</v>
      </c>
      <c r="C27" s="2">
        <v>40984</v>
      </c>
      <c r="D27" t="s">
        <v>107</v>
      </c>
      <c r="E27" t="s">
        <v>108</v>
      </c>
      <c r="F27" t="s">
        <v>44</v>
      </c>
      <c r="G27">
        <v>3069.7379999999998</v>
      </c>
      <c r="H27">
        <v>6</v>
      </c>
      <c r="I27">
        <v>0.1</v>
      </c>
      <c r="J27">
        <v>1364.2379999999901</v>
      </c>
      <c r="K27" t="s">
        <v>27</v>
      </c>
      <c r="L27" t="s">
        <v>280</v>
      </c>
      <c r="M27" t="s">
        <v>314</v>
      </c>
      <c r="N27" t="s">
        <v>106</v>
      </c>
    </row>
    <row r="28" spans="1:14" x14ac:dyDescent="0.3">
      <c r="A28" t="s">
        <v>109</v>
      </c>
      <c r="B28" s="2">
        <v>41020</v>
      </c>
      <c r="C28" s="2">
        <v>41022</v>
      </c>
      <c r="D28" t="s">
        <v>111</v>
      </c>
      <c r="E28" t="s">
        <v>45</v>
      </c>
      <c r="F28" t="s">
        <v>44</v>
      </c>
      <c r="G28">
        <v>247.84</v>
      </c>
      <c r="H28">
        <v>8</v>
      </c>
      <c r="I28">
        <v>0</v>
      </c>
      <c r="J28">
        <v>121.44159999999999</v>
      </c>
      <c r="K28" t="s">
        <v>27</v>
      </c>
      <c r="L28" t="s">
        <v>288</v>
      </c>
      <c r="M28" t="s">
        <v>315</v>
      </c>
      <c r="N28" t="s">
        <v>110</v>
      </c>
    </row>
    <row r="29" spans="1:14" x14ac:dyDescent="0.3">
      <c r="A29" t="s">
        <v>112</v>
      </c>
      <c r="B29" s="2">
        <v>41329</v>
      </c>
      <c r="C29" s="2">
        <v>41329</v>
      </c>
      <c r="D29" t="s">
        <v>115</v>
      </c>
      <c r="E29" t="s">
        <v>32</v>
      </c>
      <c r="F29" t="s">
        <v>73</v>
      </c>
      <c r="G29">
        <v>1878.71999999999</v>
      </c>
      <c r="H29">
        <v>4</v>
      </c>
      <c r="J29">
        <v>582.36</v>
      </c>
      <c r="K29" t="s">
        <v>27</v>
      </c>
      <c r="L29" t="s">
        <v>316</v>
      </c>
      <c r="M29" t="s">
        <v>317</v>
      </c>
      <c r="N29" t="s">
        <v>113</v>
      </c>
    </row>
    <row r="30" spans="1:14" x14ac:dyDescent="0.3">
      <c r="A30" t="s">
        <v>116</v>
      </c>
      <c r="B30" s="2">
        <v>41270</v>
      </c>
      <c r="C30" t="s">
        <v>117</v>
      </c>
      <c r="D30" t="s">
        <v>120</v>
      </c>
      <c r="E30" t="s">
        <v>17</v>
      </c>
      <c r="F30" t="s">
        <v>26</v>
      </c>
      <c r="G30">
        <v>1696.64</v>
      </c>
      <c r="H30">
        <v>5</v>
      </c>
      <c r="J30">
        <v>-148.46</v>
      </c>
      <c r="K30" t="s">
        <v>27</v>
      </c>
      <c r="L30" t="s">
        <v>318</v>
      </c>
      <c r="M30" t="s">
        <v>319</v>
      </c>
      <c r="N30" t="s">
        <v>118</v>
      </c>
    </row>
    <row r="31" spans="1:14" x14ac:dyDescent="0.3">
      <c r="A31" t="s">
        <v>121</v>
      </c>
      <c r="B31" s="2">
        <v>41472</v>
      </c>
      <c r="C31" s="2">
        <v>41474</v>
      </c>
      <c r="D31" t="s">
        <v>71</v>
      </c>
      <c r="E31" t="s">
        <v>17</v>
      </c>
      <c r="F31" t="s">
        <v>23</v>
      </c>
      <c r="G31">
        <v>2402.8649999999998</v>
      </c>
      <c r="H31">
        <v>9</v>
      </c>
      <c r="I31">
        <v>0.15</v>
      </c>
      <c r="J31">
        <v>763.15499999999997</v>
      </c>
      <c r="K31" t="s">
        <v>27</v>
      </c>
      <c r="L31" t="s">
        <v>298</v>
      </c>
      <c r="M31" t="s">
        <v>320</v>
      </c>
      <c r="N31" t="s">
        <v>122</v>
      </c>
    </row>
    <row r="32" spans="1:14" x14ac:dyDescent="0.3">
      <c r="A32" t="s">
        <v>123</v>
      </c>
      <c r="B32" s="2">
        <v>41635</v>
      </c>
      <c r="C32" s="2">
        <v>41639</v>
      </c>
      <c r="D32" t="s">
        <v>43</v>
      </c>
      <c r="E32" t="s">
        <v>17</v>
      </c>
      <c r="F32" t="s">
        <v>26</v>
      </c>
      <c r="G32">
        <v>668.16</v>
      </c>
      <c r="H32">
        <v>9</v>
      </c>
      <c r="I32">
        <v>0.2</v>
      </c>
      <c r="J32">
        <v>75.167999999999907</v>
      </c>
      <c r="K32" t="s">
        <v>19</v>
      </c>
      <c r="L32" t="s">
        <v>288</v>
      </c>
      <c r="M32" t="s">
        <v>315</v>
      </c>
      <c r="N32" t="s">
        <v>110</v>
      </c>
    </row>
    <row r="33" spans="1:14" x14ac:dyDescent="0.3">
      <c r="A33" t="s">
        <v>124</v>
      </c>
      <c r="B33" t="s">
        <v>125</v>
      </c>
      <c r="C33" s="2">
        <v>41217</v>
      </c>
      <c r="D33" t="s">
        <v>16</v>
      </c>
      <c r="E33" t="s">
        <v>45</v>
      </c>
      <c r="F33" t="s">
        <v>127</v>
      </c>
      <c r="G33">
        <v>2526.9299999999998</v>
      </c>
      <c r="H33">
        <v>5</v>
      </c>
      <c r="I33">
        <v>0.1</v>
      </c>
      <c r="J33">
        <v>561.48</v>
      </c>
      <c r="K33" t="s">
        <v>27</v>
      </c>
      <c r="L33" t="s">
        <v>278</v>
      </c>
      <c r="M33" t="s">
        <v>321</v>
      </c>
      <c r="N33" t="s">
        <v>126</v>
      </c>
    </row>
    <row r="34" spans="1:14" x14ac:dyDescent="0.3">
      <c r="A34" t="s">
        <v>128</v>
      </c>
      <c r="B34" s="2">
        <v>41635</v>
      </c>
      <c r="C34" s="2">
        <v>41639</v>
      </c>
      <c r="D34" t="s">
        <v>43</v>
      </c>
      <c r="E34" t="s">
        <v>45</v>
      </c>
      <c r="F34" t="s">
        <v>23</v>
      </c>
      <c r="G34">
        <v>323.10000000000002</v>
      </c>
      <c r="H34">
        <v>2</v>
      </c>
      <c r="I34">
        <v>0</v>
      </c>
      <c r="J34">
        <v>61.389000000000003</v>
      </c>
      <c r="K34" t="s">
        <v>19</v>
      </c>
      <c r="L34" t="s">
        <v>288</v>
      </c>
      <c r="M34" t="s">
        <v>315</v>
      </c>
      <c r="N34" t="s">
        <v>110</v>
      </c>
    </row>
    <row r="35" spans="1:14" x14ac:dyDescent="0.3">
      <c r="A35" t="s">
        <v>129</v>
      </c>
      <c r="B35" s="2">
        <v>41165</v>
      </c>
      <c r="C35" s="2">
        <v>41166</v>
      </c>
      <c r="D35" t="s">
        <v>131</v>
      </c>
      <c r="E35" t="s">
        <v>132</v>
      </c>
      <c r="F35" t="s">
        <v>73</v>
      </c>
      <c r="G35">
        <v>3817.26</v>
      </c>
      <c r="H35">
        <v>6</v>
      </c>
      <c r="I35">
        <v>0</v>
      </c>
      <c r="J35">
        <v>1068.6599999999901</v>
      </c>
      <c r="K35" t="s">
        <v>37</v>
      </c>
      <c r="L35" t="s">
        <v>322</v>
      </c>
      <c r="M35" t="s">
        <v>315</v>
      </c>
      <c r="N35" t="s">
        <v>110</v>
      </c>
    </row>
    <row r="36" spans="1:14" x14ac:dyDescent="0.3">
      <c r="A36" t="s">
        <v>133</v>
      </c>
      <c r="B36" s="2">
        <v>41041</v>
      </c>
      <c r="C36" t="s">
        <v>134</v>
      </c>
      <c r="D36" t="s">
        <v>43</v>
      </c>
      <c r="E36" t="s">
        <v>32</v>
      </c>
      <c r="F36" t="s">
        <v>44</v>
      </c>
      <c r="G36">
        <v>279.45600000000002</v>
      </c>
      <c r="H36">
        <v>6</v>
      </c>
      <c r="I36">
        <v>0.2</v>
      </c>
      <c r="J36">
        <v>20.9591999999999</v>
      </c>
      <c r="K36" t="s">
        <v>19</v>
      </c>
      <c r="L36" t="s">
        <v>288</v>
      </c>
      <c r="M36" t="s">
        <v>315</v>
      </c>
      <c r="N36" t="s">
        <v>110</v>
      </c>
    </row>
    <row r="37" spans="1:14" x14ac:dyDescent="0.3">
      <c r="A37" t="s">
        <v>135</v>
      </c>
      <c r="B37" s="2">
        <v>41273</v>
      </c>
      <c r="C37" s="2">
        <v>41274</v>
      </c>
      <c r="D37" t="s">
        <v>111</v>
      </c>
      <c r="E37" t="s">
        <v>17</v>
      </c>
      <c r="F37" t="s">
        <v>26</v>
      </c>
      <c r="G37">
        <v>34.769999999999897</v>
      </c>
      <c r="H37">
        <v>3</v>
      </c>
      <c r="I37">
        <v>0</v>
      </c>
      <c r="J37">
        <v>11.4740999999999</v>
      </c>
      <c r="K37" t="s">
        <v>37</v>
      </c>
      <c r="L37" t="s">
        <v>288</v>
      </c>
      <c r="M37" t="s">
        <v>282</v>
      </c>
      <c r="N37" t="s">
        <v>282</v>
      </c>
    </row>
    <row r="38" spans="1:14" x14ac:dyDescent="0.3">
      <c r="A38" t="s">
        <v>136</v>
      </c>
      <c r="B38" s="2">
        <v>42018</v>
      </c>
      <c r="C38" s="2">
        <v>42022</v>
      </c>
      <c r="D38" t="s">
        <v>94</v>
      </c>
      <c r="E38" t="s">
        <v>17</v>
      </c>
      <c r="F38" t="s">
        <v>127</v>
      </c>
      <c r="G38">
        <v>4141.0200000000004</v>
      </c>
      <c r="H38">
        <v>13</v>
      </c>
      <c r="I38">
        <v>0</v>
      </c>
      <c r="J38">
        <v>1697.67</v>
      </c>
      <c r="K38" t="s">
        <v>37</v>
      </c>
      <c r="L38" t="s">
        <v>306</v>
      </c>
      <c r="M38" t="s">
        <v>282</v>
      </c>
      <c r="N38" t="s">
        <v>282</v>
      </c>
    </row>
    <row r="39" spans="1:14" x14ac:dyDescent="0.3">
      <c r="A39" t="s">
        <v>137</v>
      </c>
      <c r="B39" s="2">
        <v>40918</v>
      </c>
      <c r="C39" s="2">
        <v>41214</v>
      </c>
      <c r="D39" t="s">
        <v>16</v>
      </c>
      <c r="E39" t="s">
        <v>17</v>
      </c>
      <c r="F39" t="s">
        <v>127</v>
      </c>
      <c r="G39">
        <v>2875.0949999999998</v>
      </c>
      <c r="H39">
        <v>5</v>
      </c>
      <c r="I39">
        <v>0.1</v>
      </c>
      <c r="J39">
        <v>511.094999999999</v>
      </c>
      <c r="K39" t="s">
        <v>19</v>
      </c>
      <c r="L39" t="s">
        <v>278</v>
      </c>
      <c r="M39" t="s">
        <v>323</v>
      </c>
      <c r="N39" t="s">
        <v>138</v>
      </c>
    </row>
    <row r="40" spans="1:14" x14ac:dyDescent="0.3">
      <c r="A40" t="s">
        <v>139</v>
      </c>
      <c r="B40" s="2">
        <v>41873</v>
      </c>
      <c r="C40" s="2">
        <v>41877</v>
      </c>
      <c r="D40" t="s">
        <v>142</v>
      </c>
      <c r="E40" t="s">
        <v>17</v>
      </c>
      <c r="F40" t="s">
        <v>33</v>
      </c>
      <c r="G40">
        <v>3200.5962</v>
      </c>
      <c r="H40">
        <v>6</v>
      </c>
      <c r="I40">
        <v>0.17</v>
      </c>
      <c r="J40">
        <v>-77.203799999999802</v>
      </c>
      <c r="K40" t="s">
        <v>37</v>
      </c>
      <c r="L40" t="s">
        <v>324</v>
      </c>
      <c r="M40" t="s">
        <v>325</v>
      </c>
      <c r="N40" t="s">
        <v>140</v>
      </c>
    </row>
    <row r="41" spans="1:14" x14ac:dyDescent="0.3">
      <c r="A41" t="s">
        <v>143</v>
      </c>
      <c r="B41" s="2">
        <v>42319</v>
      </c>
      <c r="C41" s="2">
        <v>42323</v>
      </c>
      <c r="D41" t="s">
        <v>115</v>
      </c>
      <c r="E41" t="s">
        <v>17</v>
      </c>
      <c r="F41" t="s">
        <v>26</v>
      </c>
      <c r="G41">
        <v>4518.78</v>
      </c>
      <c r="H41">
        <v>7</v>
      </c>
      <c r="I41">
        <v>0</v>
      </c>
      <c r="J41">
        <v>632.52</v>
      </c>
      <c r="K41" t="s">
        <v>37</v>
      </c>
      <c r="L41" t="s">
        <v>316</v>
      </c>
      <c r="M41" t="s">
        <v>326</v>
      </c>
      <c r="N41" t="s">
        <v>144</v>
      </c>
    </row>
    <row r="42" spans="1:14" x14ac:dyDescent="0.3">
      <c r="A42" t="s">
        <v>145</v>
      </c>
      <c r="B42" s="2">
        <v>42273</v>
      </c>
      <c r="C42" s="2">
        <v>42275</v>
      </c>
      <c r="D42" t="s">
        <v>115</v>
      </c>
      <c r="E42" t="s">
        <v>32</v>
      </c>
      <c r="F42" t="s">
        <v>26</v>
      </c>
      <c r="G42">
        <v>5667.87</v>
      </c>
      <c r="H42">
        <v>13</v>
      </c>
      <c r="I42">
        <v>0</v>
      </c>
      <c r="J42">
        <v>2097.0300000000002</v>
      </c>
      <c r="K42" t="s">
        <v>19</v>
      </c>
      <c r="L42" t="s">
        <v>316</v>
      </c>
      <c r="M42" t="s">
        <v>327</v>
      </c>
      <c r="N42" t="s">
        <v>146</v>
      </c>
    </row>
    <row r="43" spans="1:14" x14ac:dyDescent="0.3">
      <c r="A43" t="s">
        <v>147</v>
      </c>
      <c r="B43" s="2">
        <v>41621</v>
      </c>
      <c r="C43" s="2">
        <v>41625</v>
      </c>
      <c r="D43" t="s">
        <v>94</v>
      </c>
      <c r="E43" t="s">
        <v>17</v>
      </c>
      <c r="F43" t="s">
        <v>26</v>
      </c>
      <c r="G43">
        <v>5785.0199999999904</v>
      </c>
      <c r="H43">
        <v>9</v>
      </c>
      <c r="I43">
        <v>0</v>
      </c>
      <c r="J43">
        <v>404.73</v>
      </c>
      <c r="K43" t="s">
        <v>37</v>
      </c>
      <c r="L43" t="s">
        <v>306</v>
      </c>
      <c r="M43" t="s">
        <v>328</v>
      </c>
      <c r="N43" t="s">
        <v>148</v>
      </c>
    </row>
    <row r="44" spans="1:14" x14ac:dyDescent="0.3">
      <c r="A44" t="s">
        <v>149</v>
      </c>
      <c r="B44" s="2">
        <v>41174</v>
      </c>
      <c r="C44" s="2">
        <v>41176</v>
      </c>
      <c r="D44" t="s">
        <v>71</v>
      </c>
      <c r="E44" t="s">
        <v>45</v>
      </c>
      <c r="F44" t="s">
        <v>151</v>
      </c>
      <c r="G44">
        <v>3018.6239999999998</v>
      </c>
      <c r="H44">
        <v>7</v>
      </c>
      <c r="I44">
        <v>0.2</v>
      </c>
      <c r="J44">
        <v>377.24399999999901</v>
      </c>
      <c r="K44" t="s">
        <v>27</v>
      </c>
      <c r="L44" t="s">
        <v>280</v>
      </c>
      <c r="M44" t="s">
        <v>329</v>
      </c>
      <c r="N44" t="s">
        <v>150</v>
      </c>
    </row>
    <row r="45" spans="1:14" x14ac:dyDescent="0.3">
      <c r="A45" t="s">
        <v>152</v>
      </c>
      <c r="B45" s="2">
        <v>41719</v>
      </c>
      <c r="C45" s="2">
        <v>41724</v>
      </c>
      <c r="D45" t="s">
        <v>153</v>
      </c>
      <c r="E45" t="s">
        <v>32</v>
      </c>
      <c r="F45" t="s">
        <v>26</v>
      </c>
      <c r="G45">
        <v>86.45</v>
      </c>
      <c r="H45">
        <v>7</v>
      </c>
      <c r="I45">
        <v>0</v>
      </c>
      <c r="K45" t="s">
        <v>19</v>
      </c>
      <c r="L45" t="s">
        <v>288</v>
      </c>
      <c r="M45" t="s">
        <v>282</v>
      </c>
      <c r="N45" t="s">
        <v>282</v>
      </c>
    </row>
    <row r="46" spans="1:14" x14ac:dyDescent="0.3">
      <c r="A46" t="s">
        <v>154</v>
      </c>
      <c r="B46" s="2">
        <v>41706</v>
      </c>
      <c r="C46" s="2">
        <v>41854</v>
      </c>
      <c r="D46" t="s">
        <v>71</v>
      </c>
      <c r="E46" t="s">
        <v>32</v>
      </c>
      <c r="F46" t="s">
        <v>73</v>
      </c>
      <c r="G46">
        <v>2092.49999999999</v>
      </c>
      <c r="H46">
        <v>5</v>
      </c>
      <c r="I46">
        <v>0.1</v>
      </c>
      <c r="J46">
        <v>720.74999999999898</v>
      </c>
      <c r="K46" t="s">
        <v>27</v>
      </c>
      <c r="L46" t="s">
        <v>298</v>
      </c>
      <c r="M46" t="s">
        <v>330</v>
      </c>
      <c r="N46" t="s">
        <v>331</v>
      </c>
    </row>
    <row r="47" spans="1:14" x14ac:dyDescent="0.3">
      <c r="A47" t="s">
        <v>156</v>
      </c>
      <c r="B47" s="2">
        <v>42244</v>
      </c>
      <c r="C47" s="2">
        <v>42245</v>
      </c>
      <c r="D47" t="s">
        <v>90</v>
      </c>
      <c r="E47" t="s">
        <v>32</v>
      </c>
      <c r="F47" t="s">
        <v>46</v>
      </c>
      <c r="G47">
        <v>2761.2</v>
      </c>
      <c r="H47">
        <v>6</v>
      </c>
      <c r="I47">
        <v>0</v>
      </c>
      <c r="J47">
        <v>110.34</v>
      </c>
      <c r="K47" t="s">
        <v>37</v>
      </c>
      <c r="L47" t="s">
        <v>296</v>
      </c>
      <c r="M47" t="s">
        <v>332</v>
      </c>
      <c r="N47" t="s">
        <v>157</v>
      </c>
    </row>
    <row r="48" spans="1:14" x14ac:dyDescent="0.3">
      <c r="A48" t="s">
        <v>158</v>
      </c>
      <c r="B48" s="2">
        <v>42125</v>
      </c>
      <c r="C48" s="2">
        <v>42125</v>
      </c>
      <c r="D48" t="s">
        <v>115</v>
      </c>
      <c r="E48" t="s">
        <v>17</v>
      </c>
      <c r="F48" t="s">
        <v>23</v>
      </c>
      <c r="G48">
        <v>2174.13</v>
      </c>
      <c r="H48">
        <v>7</v>
      </c>
      <c r="J48">
        <v>500.00999999999902</v>
      </c>
      <c r="K48" t="s">
        <v>27</v>
      </c>
      <c r="L48" t="s">
        <v>316</v>
      </c>
      <c r="M48" t="s">
        <v>333</v>
      </c>
      <c r="N48" t="s">
        <v>159</v>
      </c>
    </row>
    <row r="49" spans="1:14" x14ac:dyDescent="0.3">
      <c r="A49" t="s">
        <v>160</v>
      </c>
      <c r="B49" t="s">
        <v>125</v>
      </c>
      <c r="C49" s="2">
        <v>42358</v>
      </c>
      <c r="D49" t="s">
        <v>61</v>
      </c>
      <c r="E49" t="s">
        <v>32</v>
      </c>
      <c r="F49" t="s">
        <v>23</v>
      </c>
      <c r="G49" t="s">
        <v>163</v>
      </c>
      <c r="H49">
        <v>11</v>
      </c>
      <c r="I49">
        <v>0</v>
      </c>
      <c r="J49">
        <v>868.12</v>
      </c>
      <c r="K49" t="s">
        <v>37</v>
      </c>
      <c r="L49" t="s">
        <v>334</v>
      </c>
      <c r="M49" t="s">
        <v>335</v>
      </c>
      <c r="N49" t="s">
        <v>161</v>
      </c>
    </row>
    <row r="50" spans="1:14" x14ac:dyDescent="0.3">
      <c r="A50" t="s">
        <v>164</v>
      </c>
      <c r="B50" s="2">
        <v>41206</v>
      </c>
      <c r="C50" s="2">
        <v>41209</v>
      </c>
      <c r="D50" t="s">
        <v>43</v>
      </c>
      <c r="E50" t="s">
        <v>165</v>
      </c>
      <c r="F50" t="s">
        <v>127</v>
      </c>
      <c r="G50">
        <v>49.408000000000001</v>
      </c>
      <c r="H50">
        <v>4</v>
      </c>
      <c r="I50">
        <v>0.2</v>
      </c>
      <c r="K50" t="s">
        <v>37</v>
      </c>
      <c r="L50" t="s">
        <v>288</v>
      </c>
      <c r="M50" t="s">
        <v>315</v>
      </c>
      <c r="N50" t="s">
        <v>110</v>
      </c>
    </row>
    <row r="51" spans="1:14" x14ac:dyDescent="0.3">
      <c r="A51" t="s">
        <v>166</v>
      </c>
      <c r="B51" s="2">
        <v>42265</v>
      </c>
      <c r="C51" s="2">
        <v>42268</v>
      </c>
      <c r="D51" t="s">
        <v>169</v>
      </c>
      <c r="E51" t="s">
        <v>17</v>
      </c>
      <c r="F51" t="s">
        <v>23</v>
      </c>
      <c r="G51">
        <v>2108.64</v>
      </c>
      <c r="H51">
        <v>8</v>
      </c>
      <c r="I51">
        <v>0</v>
      </c>
      <c r="J51">
        <v>527.04</v>
      </c>
      <c r="K51" t="s">
        <v>27</v>
      </c>
      <c r="L51" t="s">
        <v>336</v>
      </c>
      <c r="M51" t="s">
        <v>337</v>
      </c>
      <c r="N51" t="s">
        <v>167</v>
      </c>
    </row>
    <row r="52" spans="1:14" x14ac:dyDescent="0.3">
      <c r="A52" t="s">
        <v>135</v>
      </c>
      <c r="B52" s="2">
        <v>41273</v>
      </c>
      <c r="C52" s="2">
        <v>41274</v>
      </c>
      <c r="D52" t="s">
        <v>111</v>
      </c>
      <c r="E52" t="s">
        <v>45</v>
      </c>
      <c r="F52" t="s">
        <v>46</v>
      </c>
      <c r="H52">
        <v>3</v>
      </c>
      <c r="I52">
        <v>0</v>
      </c>
      <c r="J52">
        <v>8.6939999999999902</v>
      </c>
      <c r="K52" t="s">
        <v>37</v>
      </c>
      <c r="L52" t="s">
        <v>288</v>
      </c>
      <c r="M52" t="s">
        <v>315</v>
      </c>
      <c r="N52" t="s">
        <v>110</v>
      </c>
    </row>
    <row r="53" spans="1:14" x14ac:dyDescent="0.3">
      <c r="A53" t="s">
        <v>102</v>
      </c>
      <c r="B53" t="s">
        <v>170</v>
      </c>
      <c r="C53" s="2">
        <v>41262</v>
      </c>
      <c r="D53" t="s">
        <v>90</v>
      </c>
      <c r="E53" t="s">
        <v>32</v>
      </c>
      <c r="F53" t="s">
        <v>33</v>
      </c>
      <c r="H53">
        <v>5</v>
      </c>
      <c r="I53">
        <v>0</v>
      </c>
      <c r="K53" t="s">
        <v>27</v>
      </c>
      <c r="L53" t="s">
        <v>312</v>
      </c>
      <c r="M53" t="s">
        <v>313</v>
      </c>
      <c r="N53" t="s">
        <v>103</v>
      </c>
    </row>
    <row r="54" spans="1:14" x14ac:dyDescent="0.3">
      <c r="A54" t="s">
        <v>171</v>
      </c>
      <c r="B54" s="2">
        <v>41991</v>
      </c>
      <c r="C54" s="2">
        <v>41991</v>
      </c>
      <c r="D54" t="s">
        <v>84</v>
      </c>
      <c r="E54" t="s">
        <v>17</v>
      </c>
      <c r="F54" t="s">
        <v>33</v>
      </c>
      <c r="G54">
        <v>2582.16</v>
      </c>
      <c r="H54">
        <v>4</v>
      </c>
      <c r="I54">
        <v>0</v>
      </c>
      <c r="J54">
        <v>593.88</v>
      </c>
      <c r="L54" t="s">
        <v>338</v>
      </c>
      <c r="M54" t="s">
        <v>339</v>
      </c>
      <c r="N54" t="s">
        <v>172</v>
      </c>
    </row>
    <row r="55" spans="1:14" x14ac:dyDescent="0.3">
      <c r="A55" t="s">
        <v>174</v>
      </c>
      <c r="B55" s="2">
        <v>41424</v>
      </c>
      <c r="C55" s="2">
        <v>41425</v>
      </c>
      <c r="D55" t="s">
        <v>115</v>
      </c>
      <c r="E55" t="s">
        <v>17</v>
      </c>
      <c r="F55" t="s">
        <v>151</v>
      </c>
      <c r="G55">
        <v>1526.52</v>
      </c>
      <c r="H55">
        <v>4</v>
      </c>
      <c r="I55">
        <v>0</v>
      </c>
      <c r="J55">
        <v>732.72</v>
      </c>
      <c r="K55" t="s">
        <v>27</v>
      </c>
      <c r="L55" t="s">
        <v>316</v>
      </c>
      <c r="M55" t="s">
        <v>340</v>
      </c>
      <c r="N55" t="s">
        <v>175</v>
      </c>
    </row>
    <row r="56" spans="1:14" x14ac:dyDescent="0.3">
      <c r="A56" t="s">
        <v>109</v>
      </c>
      <c r="B56" s="2">
        <v>41020</v>
      </c>
      <c r="C56" s="2">
        <v>41022</v>
      </c>
      <c r="D56" t="s">
        <v>176</v>
      </c>
      <c r="F56" t="s">
        <v>26</v>
      </c>
      <c r="G56">
        <v>9.9120000000000008</v>
      </c>
      <c r="H56">
        <v>3</v>
      </c>
      <c r="I56">
        <v>0.2</v>
      </c>
      <c r="K56" t="s">
        <v>27</v>
      </c>
      <c r="L56" t="s">
        <v>288</v>
      </c>
      <c r="M56" t="s">
        <v>315</v>
      </c>
      <c r="N56" t="s">
        <v>110</v>
      </c>
    </row>
    <row r="57" spans="1:14" x14ac:dyDescent="0.3">
      <c r="A57" t="s">
        <v>177</v>
      </c>
      <c r="B57" s="2">
        <v>41419</v>
      </c>
      <c r="C57" s="2">
        <v>41422</v>
      </c>
      <c r="D57" t="s">
        <v>115</v>
      </c>
      <c r="E57" t="s">
        <v>179</v>
      </c>
      <c r="F57" t="s">
        <v>33</v>
      </c>
      <c r="G57">
        <v>1745.34</v>
      </c>
      <c r="H57">
        <v>2</v>
      </c>
      <c r="I57">
        <v>0</v>
      </c>
      <c r="J57">
        <v>226.86</v>
      </c>
      <c r="K57" t="s">
        <v>27</v>
      </c>
      <c r="L57" t="s">
        <v>316</v>
      </c>
      <c r="M57" t="s">
        <v>341</v>
      </c>
      <c r="N57" t="s">
        <v>178</v>
      </c>
    </row>
    <row r="58" spans="1:14" x14ac:dyDescent="0.3">
      <c r="A58" t="s">
        <v>180</v>
      </c>
      <c r="B58" s="2">
        <v>42221</v>
      </c>
      <c r="C58" s="2">
        <v>42222</v>
      </c>
      <c r="D58" t="s">
        <v>16</v>
      </c>
      <c r="E58" t="s">
        <v>45</v>
      </c>
      <c r="F58" t="s">
        <v>33</v>
      </c>
      <c r="G58">
        <v>4191.5069999999996</v>
      </c>
      <c r="H58">
        <v>9</v>
      </c>
      <c r="I58">
        <v>0.1</v>
      </c>
      <c r="J58">
        <v>1164.26699999999</v>
      </c>
      <c r="K58" t="s">
        <v>37</v>
      </c>
      <c r="L58" t="s">
        <v>278</v>
      </c>
      <c r="M58" t="s">
        <v>342</v>
      </c>
      <c r="N58" t="s">
        <v>181</v>
      </c>
    </row>
    <row r="59" spans="1:14" x14ac:dyDescent="0.3">
      <c r="A59" t="s">
        <v>133</v>
      </c>
      <c r="B59" s="2">
        <v>41041</v>
      </c>
      <c r="C59" s="2">
        <v>41047</v>
      </c>
      <c r="D59" t="s">
        <v>43</v>
      </c>
      <c r="E59" t="s">
        <v>165</v>
      </c>
      <c r="F59" t="s">
        <v>44</v>
      </c>
      <c r="G59">
        <v>8</v>
      </c>
      <c r="H59">
        <v>2</v>
      </c>
      <c r="J59">
        <v>3.84</v>
      </c>
      <c r="K59" t="s">
        <v>19</v>
      </c>
      <c r="L59" t="s">
        <v>288</v>
      </c>
      <c r="M59" t="s">
        <v>315</v>
      </c>
      <c r="N59" t="s">
        <v>110</v>
      </c>
    </row>
    <row r="60" spans="1:14" x14ac:dyDescent="0.3">
      <c r="A60" t="s">
        <v>182</v>
      </c>
      <c r="B60" s="2">
        <v>42074</v>
      </c>
      <c r="D60" t="s">
        <v>115</v>
      </c>
      <c r="E60" t="s">
        <v>185</v>
      </c>
      <c r="F60" t="s">
        <v>73</v>
      </c>
      <c r="G60">
        <v>3063.27</v>
      </c>
      <c r="H60">
        <v>7</v>
      </c>
      <c r="I60">
        <v>0</v>
      </c>
      <c r="J60">
        <v>581.91</v>
      </c>
      <c r="K60" t="s">
        <v>37</v>
      </c>
      <c r="L60" t="s">
        <v>343</v>
      </c>
      <c r="M60" t="s">
        <v>344</v>
      </c>
      <c r="N60" t="s">
        <v>183</v>
      </c>
    </row>
    <row r="61" spans="1:14" x14ac:dyDescent="0.3">
      <c r="A61" t="s">
        <v>186</v>
      </c>
      <c r="B61" s="2">
        <v>42357</v>
      </c>
      <c r="C61" s="2">
        <v>42361</v>
      </c>
      <c r="D61" t="s">
        <v>111</v>
      </c>
      <c r="E61" t="s">
        <v>45</v>
      </c>
      <c r="F61" t="s">
        <v>26</v>
      </c>
      <c r="G61">
        <v>18.704000000000001</v>
      </c>
      <c r="H61">
        <v>7</v>
      </c>
      <c r="I61">
        <v>0.2</v>
      </c>
      <c r="J61">
        <v>2.3379999999999899</v>
      </c>
      <c r="K61" t="s">
        <v>19</v>
      </c>
      <c r="L61" t="s">
        <v>288</v>
      </c>
      <c r="M61" t="s">
        <v>315</v>
      </c>
      <c r="N61" t="s">
        <v>110</v>
      </c>
    </row>
    <row r="62" spans="1:14" x14ac:dyDescent="0.3">
      <c r="A62" t="s">
        <v>187</v>
      </c>
      <c r="B62" s="2">
        <v>42227</v>
      </c>
      <c r="C62" s="2">
        <v>42232</v>
      </c>
      <c r="D62" t="s">
        <v>71</v>
      </c>
      <c r="E62" t="s">
        <v>17</v>
      </c>
      <c r="F62" t="s">
        <v>151</v>
      </c>
      <c r="G62">
        <v>4473</v>
      </c>
      <c r="H62">
        <v>7</v>
      </c>
      <c r="I62">
        <v>0</v>
      </c>
      <c r="J62">
        <v>313.11</v>
      </c>
      <c r="K62" t="s">
        <v>19</v>
      </c>
      <c r="L62" t="s">
        <v>280</v>
      </c>
      <c r="M62" t="s">
        <v>345</v>
      </c>
      <c r="N62" t="s">
        <v>188</v>
      </c>
    </row>
    <row r="63" spans="1:14" x14ac:dyDescent="0.3">
      <c r="A63" t="s">
        <v>189</v>
      </c>
      <c r="B63" s="2">
        <v>41882</v>
      </c>
      <c r="C63" s="2">
        <v>41885</v>
      </c>
      <c r="D63" t="s">
        <v>71</v>
      </c>
      <c r="E63" t="s">
        <v>17</v>
      </c>
      <c r="F63" t="s">
        <v>127</v>
      </c>
      <c r="G63">
        <v>1502.01</v>
      </c>
      <c r="H63">
        <v>9</v>
      </c>
      <c r="I63">
        <v>0</v>
      </c>
      <c r="J63">
        <v>225.18</v>
      </c>
      <c r="K63" t="s">
        <v>27</v>
      </c>
      <c r="L63" t="s">
        <v>280</v>
      </c>
      <c r="M63" t="s">
        <v>346</v>
      </c>
      <c r="N63" t="s">
        <v>190</v>
      </c>
    </row>
    <row r="64" spans="1:14" x14ac:dyDescent="0.3">
      <c r="A64" t="s">
        <v>191</v>
      </c>
      <c r="B64" s="2">
        <v>42022</v>
      </c>
      <c r="C64" s="2">
        <v>42027</v>
      </c>
      <c r="D64" t="s">
        <v>90</v>
      </c>
      <c r="E64" t="s">
        <v>32</v>
      </c>
      <c r="F64" t="s">
        <v>26</v>
      </c>
      <c r="G64">
        <v>5048.99999999999</v>
      </c>
      <c r="H64">
        <v>11</v>
      </c>
      <c r="I64">
        <v>0</v>
      </c>
      <c r="J64">
        <v>3799.5593480469101</v>
      </c>
      <c r="K64" t="s">
        <v>37</v>
      </c>
      <c r="L64" t="s">
        <v>296</v>
      </c>
      <c r="M64" t="s">
        <v>347</v>
      </c>
      <c r="N64" t="s">
        <v>192</v>
      </c>
    </row>
    <row r="65" spans="1:14" x14ac:dyDescent="0.3">
      <c r="A65" t="s">
        <v>193</v>
      </c>
      <c r="B65" s="2">
        <v>42007</v>
      </c>
      <c r="D65" t="s">
        <v>153</v>
      </c>
      <c r="E65" t="s">
        <v>17</v>
      </c>
      <c r="F65" t="s">
        <v>26</v>
      </c>
      <c r="G65">
        <v>695.7</v>
      </c>
      <c r="J65">
        <v>-27.8279999999999</v>
      </c>
      <c r="K65" t="s">
        <v>37</v>
      </c>
      <c r="L65" t="s">
        <v>288</v>
      </c>
      <c r="M65" t="s">
        <v>348</v>
      </c>
      <c r="N65" t="s">
        <v>194</v>
      </c>
    </row>
    <row r="66" spans="1:14" x14ac:dyDescent="0.3">
      <c r="A66" t="s">
        <v>195</v>
      </c>
      <c r="B66" s="2">
        <v>42345</v>
      </c>
      <c r="C66" s="2">
        <v>42228</v>
      </c>
      <c r="D66" t="s">
        <v>77</v>
      </c>
      <c r="E66" t="s">
        <v>32</v>
      </c>
      <c r="F66" t="s">
        <v>23</v>
      </c>
      <c r="G66">
        <v>2188.0500000000002</v>
      </c>
      <c r="H66">
        <v>5</v>
      </c>
      <c r="I66">
        <v>0</v>
      </c>
      <c r="J66">
        <v>1050.1500000000001</v>
      </c>
      <c r="K66" t="s">
        <v>37</v>
      </c>
      <c r="L66" t="s">
        <v>349</v>
      </c>
      <c r="M66" t="s">
        <v>350</v>
      </c>
      <c r="N66" t="s">
        <v>196</v>
      </c>
    </row>
    <row r="67" spans="1:14" x14ac:dyDescent="0.3">
      <c r="A67" t="s">
        <v>198</v>
      </c>
      <c r="C67" s="2">
        <v>42357</v>
      </c>
      <c r="D67" t="s">
        <v>115</v>
      </c>
      <c r="E67" t="s">
        <v>32</v>
      </c>
      <c r="F67" t="s">
        <v>73</v>
      </c>
      <c r="G67">
        <v>1920.36</v>
      </c>
      <c r="H67">
        <v>4</v>
      </c>
      <c r="I67">
        <v>0</v>
      </c>
      <c r="J67">
        <v>652.91999999999996</v>
      </c>
      <c r="K67" t="s">
        <v>27</v>
      </c>
      <c r="L67" t="s">
        <v>316</v>
      </c>
      <c r="M67" t="s">
        <v>351</v>
      </c>
      <c r="N67" t="s">
        <v>199</v>
      </c>
    </row>
    <row r="68" spans="1:14" x14ac:dyDescent="0.3">
      <c r="A68" t="s">
        <v>200</v>
      </c>
      <c r="B68" s="2">
        <v>42328</v>
      </c>
      <c r="C68" s="2">
        <v>42328</v>
      </c>
      <c r="D68" t="s">
        <v>98</v>
      </c>
      <c r="E68" t="s">
        <v>17</v>
      </c>
      <c r="F68" t="s">
        <v>151</v>
      </c>
      <c r="G68">
        <v>1704</v>
      </c>
      <c r="H68">
        <v>4</v>
      </c>
      <c r="I68">
        <v>0</v>
      </c>
      <c r="J68">
        <v>119.28</v>
      </c>
      <c r="K68" t="s">
        <v>27</v>
      </c>
      <c r="L68" t="s">
        <v>308</v>
      </c>
      <c r="M68" t="s">
        <v>352</v>
      </c>
      <c r="N68" t="s">
        <v>201</v>
      </c>
    </row>
    <row r="69" spans="1:14" x14ac:dyDescent="0.3">
      <c r="A69" t="s">
        <v>202</v>
      </c>
      <c r="B69" s="2">
        <v>41221</v>
      </c>
      <c r="C69" s="2">
        <v>41223</v>
      </c>
      <c r="D69" t="s">
        <v>205</v>
      </c>
      <c r="E69" t="s">
        <v>32</v>
      </c>
      <c r="F69" t="s">
        <v>44</v>
      </c>
      <c r="G69">
        <v>1858.68</v>
      </c>
      <c r="H69">
        <v>4</v>
      </c>
      <c r="I69">
        <v>0</v>
      </c>
      <c r="K69" t="s">
        <v>27</v>
      </c>
      <c r="L69" t="s">
        <v>353</v>
      </c>
      <c r="M69" t="s">
        <v>354</v>
      </c>
      <c r="N69" t="s">
        <v>203</v>
      </c>
    </row>
    <row r="70" spans="1:14" x14ac:dyDescent="0.3">
      <c r="A70" t="s">
        <v>206</v>
      </c>
      <c r="B70" s="2">
        <v>41826</v>
      </c>
      <c r="C70" s="2">
        <v>41799</v>
      </c>
      <c r="D70" t="s">
        <v>90</v>
      </c>
      <c r="E70" t="s">
        <v>32</v>
      </c>
      <c r="F70" t="s">
        <v>26</v>
      </c>
      <c r="G70">
        <v>3298.2599999999902</v>
      </c>
      <c r="H70">
        <v>7</v>
      </c>
      <c r="I70">
        <v>0</v>
      </c>
      <c r="J70">
        <v>1055.25</v>
      </c>
      <c r="K70" t="s">
        <v>37</v>
      </c>
      <c r="L70" t="s">
        <v>355</v>
      </c>
      <c r="M70" t="s">
        <v>356</v>
      </c>
      <c r="N70" t="s">
        <v>207</v>
      </c>
    </row>
    <row r="71" spans="1:14" x14ac:dyDescent="0.3">
      <c r="A71" t="s">
        <v>209</v>
      </c>
      <c r="B71" s="2">
        <v>41234</v>
      </c>
      <c r="C71" s="2">
        <v>41235</v>
      </c>
      <c r="D71" t="s">
        <v>98</v>
      </c>
      <c r="E71" t="s">
        <v>45</v>
      </c>
      <c r="F71" t="s">
        <v>44</v>
      </c>
      <c r="G71">
        <v>2443.48</v>
      </c>
      <c r="H71">
        <v>13</v>
      </c>
      <c r="I71">
        <v>0</v>
      </c>
      <c r="J71" t="s">
        <v>212</v>
      </c>
      <c r="K71" t="s">
        <v>19</v>
      </c>
      <c r="L71" t="s">
        <v>357</v>
      </c>
      <c r="M71" t="s">
        <v>358</v>
      </c>
      <c r="N71" t="s">
        <v>210</v>
      </c>
    </row>
    <row r="72" spans="1:14" x14ac:dyDescent="0.3">
      <c r="A72" t="s">
        <v>213</v>
      </c>
      <c r="B72" s="2">
        <v>41727</v>
      </c>
      <c r="C72" s="2">
        <v>41729</v>
      </c>
      <c r="D72" t="s">
        <v>131</v>
      </c>
      <c r="E72" t="s">
        <v>32</v>
      </c>
      <c r="F72" t="s">
        <v>23</v>
      </c>
      <c r="H72">
        <v>8</v>
      </c>
      <c r="I72">
        <v>0</v>
      </c>
      <c r="J72">
        <v>1523.52</v>
      </c>
      <c r="K72" t="s">
        <v>37</v>
      </c>
      <c r="L72" t="s">
        <v>322</v>
      </c>
      <c r="M72" t="s">
        <v>359</v>
      </c>
      <c r="N72" t="s">
        <v>214</v>
      </c>
    </row>
    <row r="73" spans="1:14" x14ac:dyDescent="0.3">
      <c r="A73" t="s">
        <v>215</v>
      </c>
      <c r="B73" s="2">
        <v>42242</v>
      </c>
      <c r="C73" s="2">
        <v>42243</v>
      </c>
      <c r="D73" t="s">
        <v>142</v>
      </c>
      <c r="E73" t="s">
        <v>32</v>
      </c>
      <c r="F73" t="s">
        <v>73</v>
      </c>
      <c r="G73">
        <v>3427.1495999999902</v>
      </c>
      <c r="H73">
        <v>7</v>
      </c>
      <c r="J73">
        <v>-452.81039999999899</v>
      </c>
      <c r="K73" t="s">
        <v>37</v>
      </c>
      <c r="L73" t="s">
        <v>324</v>
      </c>
      <c r="M73" t="s">
        <v>360</v>
      </c>
      <c r="N73" t="s">
        <v>216</v>
      </c>
    </row>
    <row r="74" spans="1:14" x14ac:dyDescent="0.3">
      <c r="A74" t="s">
        <v>217</v>
      </c>
      <c r="B74" s="2">
        <v>41537</v>
      </c>
      <c r="C74" s="2">
        <v>41539</v>
      </c>
      <c r="E74" t="s">
        <v>17</v>
      </c>
      <c r="F74" t="s">
        <v>23</v>
      </c>
      <c r="G74">
        <v>3441.69</v>
      </c>
      <c r="I74">
        <v>0.1</v>
      </c>
      <c r="J74">
        <v>38.069999999999901</v>
      </c>
      <c r="K74" t="s">
        <v>37</v>
      </c>
      <c r="L74" t="s">
        <v>306</v>
      </c>
      <c r="M74" t="s">
        <v>361</v>
      </c>
      <c r="N74" t="s">
        <v>218</v>
      </c>
    </row>
    <row r="75" spans="1:14" x14ac:dyDescent="0.3">
      <c r="A75" t="s">
        <v>219</v>
      </c>
      <c r="B75" s="2">
        <v>42140</v>
      </c>
      <c r="C75" s="2">
        <v>42142</v>
      </c>
      <c r="D75" t="s">
        <v>16</v>
      </c>
      <c r="E75" t="s">
        <v>17</v>
      </c>
      <c r="F75" t="s">
        <v>44</v>
      </c>
      <c r="G75">
        <v>2863.35</v>
      </c>
      <c r="H75">
        <v>5</v>
      </c>
      <c r="I75">
        <v>0.1</v>
      </c>
      <c r="J75">
        <v>858.9</v>
      </c>
      <c r="K75" t="s">
        <v>220</v>
      </c>
      <c r="L75" t="s">
        <v>278</v>
      </c>
      <c r="M75" t="s">
        <v>335</v>
      </c>
      <c r="N75" t="s">
        <v>161</v>
      </c>
    </row>
    <row r="76" spans="1:14" x14ac:dyDescent="0.3">
      <c r="A76" s="1" t="s">
        <v>0</v>
      </c>
      <c r="B76" s="1" t="s">
        <v>1</v>
      </c>
      <c r="C76" s="1" t="s">
        <v>2</v>
      </c>
      <c r="D76" s="1" t="s">
        <v>5</v>
      </c>
      <c r="E76" s="1" t="s">
        <v>6</v>
      </c>
      <c r="F76" s="1" t="s">
        <v>7</v>
      </c>
      <c r="G76" s="1" t="s">
        <v>8</v>
      </c>
      <c r="H76" s="1" t="s">
        <v>9</v>
      </c>
      <c r="I76" s="1" t="s">
        <v>10</v>
      </c>
      <c r="J76">
        <v>-263.99669999999998</v>
      </c>
      <c r="K76" t="s">
        <v>19</v>
      </c>
      <c r="L76" t="s">
        <v>288</v>
      </c>
      <c r="M76" t="s">
        <v>348</v>
      </c>
      <c r="N76" t="s">
        <v>194</v>
      </c>
    </row>
    <row r="77" spans="1:14" x14ac:dyDescent="0.3">
      <c r="A77" t="s">
        <v>385</v>
      </c>
      <c r="B77" s="2">
        <v>41929</v>
      </c>
      <c r="C77" s="2">
        <v>41930</v>
      </c>
      <c r="D77" t="s">
        <v>16</v>
      </c>
      <c r="E77" t="s">
        <v>17</v>
      </c>
      <c r="F77" t="s">
        <v>18</v>
      </c>
      <c r="G77">
        <v>378.88575000000299</v>
      </c>
      <c r="H77">
        <v>3.2</v>
      </c>
      <c r="I77">
        <v>4.2947257876312699E-2</v>
      </c>
      <c r="J77">
        <v>728.7</v>
      </c>
      <c r="K77" t="s">
        <v>27</v>
      </c>
      <c r="L77" t="s">
        <v>282</v>
      </c>
      <c r="M77" t="s">
        <v>362</v>
      </c>
      <c r="N77" t="s">
        <v>222</v>
      </c>
    </row>
    <row r="78" spans="1:14" x14ac:dyDescent="0.3">
      <c r="A78" t="s">
        <v>386</v>
      </c>
      <c r="B78" s="2">
        <v>41667</v>
      </c>
      <c r="C78" s="2">
        <v>41669</v>
      </c>
      <c r="E78" t="s">
        <v>17</v>
      </c>
      <c r="F78" t="s">
        <v>23</v>
      </c>
      <c r="G78">
        <v>-126.387083333337</v>
      </c>
      <c r="H78">
        <v>2.2000000000000002</v>
      </c>
      <c r="I78">
        <v>4.28538311940879E-2</v>
      </c>
      <c r="J78">
        <v>1183.95</v>
      </c>
      <c r="K78" t="s">
        <v>227</v>
      </c>
      <c r="L78" t="s">
        <v>296</v>
      </c>
      <c r="M78" t="s">
        <v>363</v>
      </c>
      <c r="N78" t="s">
        <v>225</v>
      </c>
    </row>
    <row r="79" spans="1:14" x14ac:dyDescent="0.3">
      <c r="B79" s="2">
        <v>41948</v>
      </c>
      <c r="C79" s="2">
        <v>41949</v>
      </c>
      <c r="D79" t="s">
        <v>25</v>
      </c>
      <c r="E79" t="s">
        <v>17</v>
      </c>
      <c r="F79" t="s">
        <v>26</v>
      </c>
      <c r="G79">
        <v>-631.65991666666696</v>
      </c>
      <c r="H79">
        <v>1.2</v>
      </c>
      <c r="I79">
        <v>4.2760404511863102E-2</v>
      </c>
      <c r="J79">
        <v>91.95</v>
      </c>
      <c r="K79" t="s">
        <v>27</v>
      </c>
      <c r="L79" t="s">
        <v>316</v>
      </c>
      <c r="M79" t="s">
        <v>364</v>
      </c>
      <c r="N79" t="s">
        <v>229</v>
      </c>
    </row>
    <row r="80" spans="1:14" x14ac:dyDescent="0.3">
      <c r="A80" t="s">
        <v>387</v>
      </c>
      <c r="B80" s="2">
        <v>41818</v>
      </c>
      <c r="C80" s="2">
        <v>41821</v>
      </c>
      <c r="D80" t="s">
        <v>16</v>
      </c>
      <c r="E80" t="s">
        <v>17</v>
      </c>
      <c r="F80" t="s">
        <v>26</v>
      </c>
      <c r="G80">
        <v>-1136.9327499999999</v>
      </c>
      <c r="H80">
        <v>0.19999999999999901</v>
      </c>
      <c r="I80">
        <v>4.2666977829638297E-2</v>
      </c>
      <c r="J80">
        <v>63.546000000000099</v>
      </c>
      <c r="K80" t="s">
        <v>37</v>
      </c>
      <c r="L80" t="s">
        <v>298</v>
      </c>
      <c r="M80" t="s">
        <v>365</v>
      </c>
      <c r="N80" t="s">
        <v>230</v>
      </c>
    </row>
    <row r="81" spans="1:14" x14ac:dyDescent="0.3">
      <c r="B81" s="2">
        <v>41219</v>
      </c>
      <c r="C81" s="2">
        <v>41221</v>
      </c>
      <c r="D81" t="s">
        <v>16</v>
      </c>
      <c r="E81" t="s">
        <v>32</v>
      </c>
      <c r="F81" t="s">
        <v>33</v>
      </c>
      <c r="G81">
        <v>-1642.20558333333</v>
      </c>
      <c r="H81">
        <v>-0.80000000000000104</v>
      </c>
      <c r="I81">
        <v>4.2573551147413499E-2</v>
      </c>
      <c r="J81">
        <v>2597.2800000000002</v>
      </c>
      <c r="K81" t="s">
        <v>19</v>
      </c>
      <c r="L81" t="s">
        <v>366</v>
      </c>
      <c r="M81" t="s">
        <v>321</v>
      </c>
      <c r="N81" t="s">
        <v>126</v>
      </c>
    </row>
    <row r="82" spans="1:14" x14ac:dyDescent="0.3">
      <c r="A82" t="s">
        <v>388</v>
      </c>
      <c r="D82" t="s">
        <v>16</v>
      </c>
      <c r="E82" t="s">
        <v>32</v>
      </c>
      <c r="F82" t="s">
        <v>26</v>
      </c>
      <c r="G82">
        <v>-2147.47841666667</v>
      </c>
      <c r="H82" t="s">
        <v>36</v>
      </c>
      <c r="I82">
        <v>4.2480124465188701E-2</v>
      </c>
      <c r="J82">
        <v>84.293999999999897</v>
      </c>
      <c r="K82" t="s">
        <v>27</v>
      </c>
      <c r="L82" t="s">
        <v>288</v>
      </c>
      <c r="M82" t="s">
        <v>348</v>
      </c>
      <c r="N82" t="s">
        <v>194</v>
      </c>
    </row>
    <row r="83" spans="1:14" x14ac:dyDescent="0.3">
      <c r="A83" t="s">
        <v>389</v>
      </c>
      <c r="B83" s="2">
        <v>41954</v>
      </c>
      <c r="C83" s="2">
        <v>41956</v>
      </c>
      <c r="D83" t="s">
        <v>41</v>
      </c>
      <c r="E83" t="s">
        <v>32</v>
      </c>
      <c r="F83" t="s">
        <v>23</v>
      </c>
      <c r="G83">
        <v>-2652.7512499999998</v>
      </c>
      <c r="H83">
        <v>5.4</v>
      </c>
      <c r="I83">
        <v>4.2386697782963903E-2</v>
      </c>
      <c r="J83">
        <v>-58.715999999999902</v>
      </c>
      <c r="K83" t="s">
        <v>37</v>
      </c>
      <c r="L83" t="s">
        <v>288</v>
      </c>
      <c r="M83" t="s">
        <v>367</v>
      </c>
      <c r="N83" t="s">
        <v>235</v>
      </c>
    </row>
    <row r="84" spans="1:14" x14ac:dyDescent="0.3">
      <c r="A84" t="s">
        <v>42</v>
      </c>
      <c r="B84" s="2">
        <v>40974</v>
      </c>
      <c r="C84" s="2">
        <v>40975</v>
      </c>
      <c r="D84" t="s">
        <v>43</v>
      </c>
      <c r="E84" t="s">
        <v>32</v>
      </c>
      <c r="F84" t="s">
        <v>44</v>
      </c>
      <c r="G84">
        <v>-3158.0240833333301</v>
      </c>
      <c r="H84">
        <v>6.2</v>
      </c>
      <c r="I84">
        <v>4.2293271100739001E-2</v>
      </c>
      <c r="J84">
        <v>965.85</v>
      </c>
      <c r="K84" t="s">
        <v>74</v>
      </c>
      <c r="L84" t="s">
        <v>280</v>
      </c>
      <c r="M84" t="s">
        <v>325</v>
      </c>
      <c r="N84" t="s">
        <v>140</v>
      </c>
    </row>
    <row r="85" spans="1:14" x14ac:dyDescent="0.3">
      <c r="A85" t="s">
        <v>42</v>
      </c>
      <c r="B85" s="2">
        <v>40974</v>
      </c>
      <c r="C85" s="2">
        <v>40975</v>
      </c>
      <c r="D85" t="s">
        <v>43</v>
      </c>
      <c r="E85" t="s">
        <v>45</v>
      </c>
      <c r="F85" t="s">
        <v>46</v>
      </c>
      <c r="G85" t="s">
        <v>47</v>
      </c>
      <c r="H85">
        <v>7</v>
      </c>
      <c r="I85">
        <v>4.2199844418514203E-2</v>
      </c>
      <c r="J85">
        <v>-269.7912</v>
      </c>
      <c r="K85" t="s">
        <v>27</v>
      </c>
      <c r="L85" t="s">
        <v>324</v>
      </c>
      <c r="M85" t="s">
        <v>368</v>
      </c>
      <c r="N85" t="s">
        <v>369</v>
      </c>
    </row>
    <row r="86" spans="1:14" x14ac:dyDescent="0.3">
      <c r="A86" t="s">
        <v>390</v>
      </c>
      <c r="B86" s="2">
        <v>41383</v>
      </c>
      <c r="C86" t="s">
        <v>391</v>
      </c>
      <c r="D86" t="s">
        <v>52</v>
      </c>
      <c r="E86" t="s">
        <v>32</v>
      </c>
      <c r="F86" t="s">
        <v>44</v>
      </c>
      <c r="G86">
        <v>607.77</v>
      </c>
      <c r="H86">
        <v>7.8</v>
      </c>
      <c r="I86">
        <v>4.2106417736289398E-2</v>
      </c>
      <c r="J86">
        <v>113.28</v>
      </c>
      <c r="K86" t="s">
        <v>19</v>
      </c>
      <c r="L86" t="s">
        <v>366</v>
      </c>
      <c r="M86" t="s">
        <v>370</v>
      </c>
      <c r="N86" t="s">
        <v>239</v>
      </c>
    </row>
    <row r="87" spans="1:14" x14ac:dyDescent="0.3">
      <c r="A87" t="s">
        <v>392</v>
      </c>
      <c r="B87" s="2">
        <v>41269</v>
      </c>
      <c r="D87" t="s">
        <v>56</v>
      </c>
      <c r="E87" t="s">
        <v>17</v>
      </c>
      <c r="F87" t="s">
        <v>57</v>
      </c>
      <c r="G87">
        <v>-1401.42</v>
      </c>
      <c r="H87">
        <v>8.6</v>
      </c>
      <c r="I87">
        <v>4.20129910540646E-2</v>
      </c>
      <c r="J87">
        <v>1124.9009999999901</v>
      </c>
      <c r="K87" t="s">
        <v>37</v>
      </c>
      <c r="L87" t="s">
        <v>278</v>
      </c>
      <c r="M87" t="s">
        <v>371</v>
      </c>
      <c r="N87" t="s">
        <v>240</v>
      </c>
    </row>
    <row r="88" spans="1:14" x14ac:dyDescent="0.3">
      <c r="A88" t="s">
        <v>393</v>
      </c>
      <c r="B88" s="2">
        <v>41591</v>
      </c>
      <c r="C88" s="2">
        <v>41591</v>
      </c>
      <c r="D88" t="s">
        <v>61</v>
      </c>
      <c r="E88" t="s">
        <v>32</v>
      </c>
      <c r="F88" t="s">
        <v>44</v>
      </c>
      <c r="G88" t="s">
        <v>62</v>
      </c>
      <c r="H88" t="s">
        <v>63</v>
      </c>
      <c r="I88">
        <v>4.1919564371839801E-2</v>
      </c>
      <c r="J88">
        <v>1192.8599999999999</v>
      </c>
      <c r="K88" t="s">
        <v>19</v>
      </c>
      <c r="L88" t="s">
        <v>343</v>
      </c>
      <c r="M88" t="s">
        <v>372</v>
      </c>
      <c r="N88" t="s">
        <v>242</v>
      </c>
    </row>
    <row r="89" spans="1:14" x14ac:dyDescent="0.3">
      <c r="A89" t="s">
        <v>394</v>
      </c>
      <c r="B89" s="2">
        <v>41796</v>
      </c>
      <c r="C89" s="2">
        <v>41798</v>
      </c>
      <c r="D89" t="s">
        <v>67</v>
      </c>
      <c r="E89" t="s">
        <v>45</v>
      </c>
      <c r="F89" t="s">
        <v>26</v>
      </c>
      <c r="G89">
        <v>-1827.65199999999</v>
      </c>
      <c r="H89">
        <v>6.2170087976539596</v>
      </c>
      <c r="I89">
        <v>4.1826137689615003E-2</v>
      </c>
      <c r="J89">
        <v>0</v>
      </c>
      <c r="K89" t="s">
        <v>37</v>
      </c>
      <c r="L89" t="s">
        <v>296</v>
      </c>
      <c r="M89" t="s">
        <v>282</v>
      </c>
      <c r="N89" t="s">
        <v>282</v>
      </c>
    </row>
    <row r="90" spans="1:14" x14ac:dyDescent="0.3">
      <c r="A90" t="s">
        <v>395</v>
      </c>
      <c r="B90" s="2">
        <v>42216</v>
      </c>
      <c r="C90" s="2">
        <v>42219</v>
      </c>
      <c r="D90" t="s">
        <v>71</v>
      </c>
      <c r="E90" t="s">
        <v>45</v>
      </c>
      <c r="F90" t="s">
        <v>23</v>
      </c>
      <c r="G90">
        <v>-3672.0999999999899</v>
      </c>
      <c r="H90">
        <v>6.2084392310198799</v>
      </c>
      <c r="I90">
        <v>4.1732711007390198E-2</v>
      </c>
      <c r="J90">
        <v>498.32999999999902</v>
      </c>
      <c r="K90" t="s">
        <v>27</v>
      </c>
      <c r="L90" t="s">
        <v>316</v>
      </c>
      <c r="M90" t="s">
        <v>341</v>
      </c>
      <c r="N90" t="s">
        <v>178</v>
      </c>
    </row>
    <row r="91" spans="1:14" x14ac:dyDescent="0.3">
      <c r="A91" t="s">
        <v>396</v>
      </c>
      <c r="B91" s="2">
        <v>40958</v>
      </c>
      <c r="C91" s="2">
        <v>40964</v>
      </c>
      <c r="D91" t="s">
        <v>41</v>
      </c>
      <c r="E91" t="s">
        <v>45</v>
      </c>
      <c r="F91" t="s">
        <v>73</v>
      </c>
      <c r="G91">
        <v>-5516.5479999999798</v>
      </c>
      <c r="H91">
        <v>6.1998696643858002</v>
      </c>
      <c r="I91">
        <v>4.1639284325165303E-2</v>
      </c>
      <c r="J91">
        <v>-6.4233000000000198</v>
      </c>
      <c r="K91" t="s">
        <v>19</v>
      </c>
      <c r="L91" t="s">
        <v>288</v>
      </c>
      <c r="M91" t="s">
        <v>348</v>
      </c>
      <c r="N91" t="s">
        <v>194</v>
      </c>
    </row>
    <row r="92" spans="1:14" x14ac:dyDescent="0.3">
      <c r="A92" t="s">
        <v>397</v>
      </c>
      <c r="B92" s="2">
        <v>42255</v>
      </c>
      <c r="C92" s="2">
        <v>42261</v>
      </c>
      <c r="D92" t="s">
        <v>77</v>
      </c>
      <c r="E92" t="s">
        <v>45</v>
      </c>
      <c r="F92" t="s">
        <v>73</v>
      </c>
      <c r="G92" t="s">
        <v>78</v>
      </c>
      <c r="H92">
        <v>6.1913000977517099</v>
      </c>
      <c r="I92">
        <v>4.1545857642940498E-2</v>
      </c>
      <c r="J92">
        <v>513.36</v>
      </c>
      <c r="K92" t="s">
        <v>27</v>
      </c>
      <c r="L92" t="s">
        <v>298</v>
      </c>
      <c r="M92" t="s">
        <v>373</v>
      </c>
      <c r="N92" t="s">
        <v>247</v>
      </c>
    </row>
    <row r="93" spans="1:14" x14ac:dyDescent="0.3">
      <c r="A93" t="s">
        <v>398</v>
      </c>
      <c r="B93" s="2">
        <v>42035</v>
      </c>
      <c r="C93" s="2">
        <v>42036</v>
      </c>
      <c r="D93" t="s">
        <v>16</v>
      </c>
      <c r="F93" t="s">
        <v>18</v>
      </c>
      <c r="G93">
        <v>2853.2489703225801</v>
      </c>
      <c r="H93">
        <v>6.1827305311176302</v>
      </c>
      <c r="I93">
        <v>4.14524309607157E-2</v>
      </c>
      <c r="J93">
        <v>-21.159599999999902</v>
      </c>
      <c r="K93" t="s">
        <v>37</v>
      </c>
      <c r="L93" t="s">
        <v>288</v>
      </c>
      <c r="M93" t="s">
        <v>282</v>
      </c>
      <c r="N93" t="s">
        <v>282</v>
      </c>
    </row>
    <row r="94" spans="1:14" x14ac:dyDescent="0.3">
      <c r="A94" t="s">
        <v>399</v>
      </c>
      <c r="B94" s="2">
        <v>42343</v>
      </c>
      <c r="C94" s="2">
        <v>42345</v>
      </c>
      <c r="D94" t="s">
        <v>84</v>
      </c>
      <c r="E94" t="s">
        <v>45</v>
      </c>
      <c r="F94" t="s">
        <v>73</v>
      </c>
      <c r="G94">
        <v>2880.3150265322602</v>
      </c>
      <c r="H94">
        <v>6.1741609644835496</v>
      </c>
      <c r="I94">
        <v>4.1359004278490902E-2</v>
      </c>
      <c r="J94" t="s">
        <v>251</v>
      </c>
      <c r="K94" t="s">
        <v>37</v>
      </c>
      <c r="L94" t="s">
        <v>374</v>
      </c>
      <c r="M94" t="s">
        <v>375</v>
      </c>
      <c r="N94" t="s">
        <v>249</v>
      </c>
    </row>
    <row r="95" spans="1:14" x14ac:dyDescent="0.3">
      <c r="A95" t="s">
        <v>400</v>
      </c>
      <c r="B95" s="2">
        <v>41494</v>
      </c>
      <c r="C95" s="2">
        <v>41496</v>
      </c>
      <c r="D95" t="s">
        <v>87</v>
      </c>
      <c r="E95" t="s">
        <v>32</v>
      </c>
      <c r="F95" t="s">
        <v>33</v>
      </c>
      <c r="G95">
        <v>2907.3810827419302</v>
      </c>
      <c r="H95">
        <v>6.1655913978494601</v>
      </c>
      <c r="I95">
        <v>4.1265577596266097E-2</v>
      </c>
      <c r="J95">
        <v>738.96</v>
      </c>
      <c r="K95" t="s">
        <v>37</v>
      </c>
      <c r="L95" t="s">
        <v>282</v>
      </c>
      <c r="M95" t="s">
        <v>376</v>
      </c>
      <c r="N95" t="s">
        <v>253</v>
      </c>
    </row>
    <row r="96" spans="1:14" x14ac:dyDescent="0.3">
      <c r="A96" t="s">
        <v>401</v>
      </c>
      <c r="B96" s="2">
        <v>40974</v>
      </c>
      <c r="C96" s="2">
        <v>40975</v>
      </c>
      <c r="D96" t="s">
        <v>43</v>
      </c>
      <c r="E96" t="s">
        <v>45</v>
      </c>
      <c r="F96" t="s">
        <v>73</v>
      </c>
      <c r="G96">
        <v>2934.4471389516102</v>
      </c>
      <c r="H96">
        <v>6.1570218312153804</v>
      </c>
      <c r="I96">
        <v>4.1172150914041299E-2</v>
      </c>
      <c r="J96">
        <v>927.78</v>
      </c>
      <c r="K96" t="s">
        <v>37</v>
      </c>
      <c r="L96" t="s">
        <v>377</v>
      </c>
      <c r="M96" t="s">
        <v>378</v>
      </c>
      <c r="N96" t="s">
        <v>255</v>
      </c>
    </row>
    <row r="97" spans="1:14" x14ac:dyDescent="0.3">
      <c r="A97" t="s">
        <v>402</v>
      </c>
      <c r="B97" s="2">
        <v>41030</v>
      </c>
      <c r="C97" s="2">
        <v>41031</v>
      </c>
      <c r="D97" t="s">
        <v>90</v>
      </c>
      <c r="E97" t="s">
        <v>32</v>
      </c>
      <c r="F97" t="s">
        <v>44</v>
      </c>
      <c r="G97">
        <v>2961.5131951612898</v>
      </c>
      <c r="H97">
        <v>6.1484522645812998</v>
      </c>
      <c r="I97">
        <v>4.1078724231816403E-2</v>
      </c>
      <c r="J97">
        <v>96.39</v>
      </c>
      <c r="K97" t="s">
        <v>19</v>
      </c>
      <c r="L97" t="s">
        <v>278</v>
      </c>
      <c r="M97" t="s">
        <v>373</v>
      </c>
      <c r="N97" t="s">
        <v>247</v>
      </c>
    </row>
    <row r="98" spans="1:14" x14ac:dyDescent="0.3">
      <c r="A98" t="s">
        <v>403</v>
      </c>
      <c r="B98" s="2">
        <v>41697</v>
      </c>
      <c r="C98" s="2">
        <v>41699</v>
      </c>
      <c r="D98" t="s">
        <v>94</v>
      </c>
      <c r="E98" t="s">
        <v>45</v>
      </c>
      <c r="F98" t="s">
        <v>26</v>
      </c>
      <c r="G98">
        <v>2988.5792513709698</v>
      </c>
      <c r="H98">
        <v>6.1398826979472201</v>
      </c>
      <c r="I98">
        <v>4.0985297549591598E-2</v>
      </c>
      <c r="J98">
        <v>-5.4000000000030399E-2</v>
      </c>
      <c r="K98" t="s">
        <v>27</v>
      </c>
      <c r="L98" t="s">
        <v>298</v>
      </c>
      <c r="M98" t="s">
        <v>379</v>
      </c>
      <c r="N98" t="s">
        <v>380</v>
      </c>
    </row>
    <row r="99" spans="1:14" x14ac:dyDescent="0.3">
      <c r="A99" t="s">
        <v>260</v>
      </c>
      <c r="B99" s="3">
        <v>41707</v>
      </c>
      <c r="C99" s="2">
        <v>41887</v>
      </c>
      <c r="D99" t="s">
        <v>71</v>
      </c>
      <c r="E99" t="s">
        <v>45</v>
      </c>
      <c r="F99" t="s">
        <v>23</v>
      </c>
      <c r="G99">
        <v>3155.5439999999999</v>
      </c>
      <c r="H99">
        <v>7</v>
      </c>
      <c r="I99">
        <v>0.1</v>
      </c>
      <c r="J99">
        <v>34.944000000000003</v>
      </c>
      <c r="K99" t="s">
        <v>37</v>
      </c>
      <c r="L99" t="s">
        <v>298</v>
      </c>
      <c r="M99" t="s">
        <v>381</v>
      </c>
      <c r="N99" t="s">
        <v>261</v>
      </c>
    </row>
    <row r="100" spans="1:14" x14ac:dyDescent="0.3">
      <c r="A100" t="s">
        <v>262</v>
      </c>
      <c r="B100" s="2">
        <v>41846</v>
      </c>
      <c r="C100" s="2">
        <v>41852</v>
      </c>
      <c r="D100" t="s">
        <v>264</v>
      </c>
      <c r="E100" t="s">
        <v>17</v>
      </c>
      <c r="F100" t="s">
        <v>127</v>
      </c>
      <c r="G100">
        <v>3856.1399999999899</v>
      </c>
      <c r="H100">
        <v>6</v>
      </c>
      <c r="I100">
        <v>0</v>
      </c>
      <c r="K100" t="s">
        <v>74</v>
      </c>
      <c r="L100" t="s">
        <v>322</v>
      </c>
      <c r="M100" t="s">
        <v>382</v>
      </c>
      <c r="N100" t="s">
        <v>383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task 5</vt:lpstr>
      <vt:lpstr>task5.1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Prathiga</dc:creator>
  <cp:lastModifiedBy>D Prathiga</cp:lastModifiedBy>
  <dcterms:created xsi:type="dcterms:W3CDTF">2025-10-21T00:58:00Z</dcterms:created>
  <dcterms:modified xsi:type="dcterms:W3CDTF">2025-10-23T06:14:06Z</dcterms:modified>
</cp:coreProperties>
</file>