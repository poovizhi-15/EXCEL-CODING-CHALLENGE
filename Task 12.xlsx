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2138713D-3F5E-42C3-9C4C-3C807B843562}" xr6:coauthVersionLast="47" xr6:coauthVersionMax="47" xr10:uidLastSave="{00000000-0000-0000-0000-000000000000}"/>
  <bookViews>
    <workbookView xWindow="-108" yWindow="-108" windowWidth="23256" windowHeight="12456" xr2:uid="{128BBEA5-14F2-44BD-9250-68D174BB6F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H2" i="1"/>
  <c r="G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50" i="1"/>
  <c r="K4" i="1"/>
</calcChain>
</file>

<file path=xl/sharedStrings.xml><?xml version="1.0" encoding="utf-8"?>
<sst xmlns="http://schemas.openxmlformats.org/spreadsheetml/2006/main" count="114" uniqueCount="100">
  <si>
    <t>Order ID</t>
  </si>
  <si>
    <t>Order Date</t>
  </si>
  <si>
    <t>Ship Date</t>
  </si>
  <si>
    <t>IN-2014-CR127307-41929</t>
  </si>
  <si>
    <t>ES-2014-KM1637548-41667</t>
  </si>
  <si>
    <t>IN-2014-JM156557-41818</t>
  </si>
  <si>
    <t>IN-2013-MB1808592-41378</t>
  </si>
  <si>
    <t>CA-2014-AB10015140-41954</t>
  </si>
  <si>
    <t>CA-2012-AB10015140-40974</t>
  </si>
  <si>
    <t>ID-2013-AJ107801-41383</t>
  </si>
  <si>
    <t>SA-2012-MM7260110-41269</t>
  </si>
  <si>
    <t>MX-2013-VF2171518-41591</t>
  </si>
  <si>
    <t>IN-2014-PF1912027-41796</t>
  </si>
  <si>
    <t>ES-2015-BP1118545-42216</t>
  </si>
  <si>
    <t>CA-2012-AB10015140-40958</t>
  </si>
  <si>
    <t>ES-2015-PJ1883564-42255</t>
  </si>
  <si>
    <t>IN-2015-JS156857-42035</t>
  </si>
  <si>
    <t>TZ-2015-RH9555129-42343</t>
  </si>
  <si>
    <t>PL-2013-AB600103-41494</t>
  </si>
  <si>
    <t>IN-2012-JK1532527-41030</t>
  </si>
  <si>
    <t>ES-2014-LB16795139-41697</t>
  </si>
  <si>
    <t>US-2015-NP1832582-42216</t>
  </si>
  <si>
    <t>MX-2015-VD2167039-42252</t>
  </si>
  <si>
    <t>IN-2012-PB19210127-41259</t>
  </si>
  <si>
    <t>ES-2012-EB1411048-40981</t>
  </si>
  <si>
    <t>CA-2012-AH10030140-41020</t>
  </si>
  <si>
    <t>IN-2013-BP1123058-41329</t>
  </si>
  <si>
    <t>US-2012-RR1952536-41270</t>
  </si>
  <si>
    <t>ES-2013-BS1136545-41472</t>
  </si>
  <si>
    <t>CA-2013-AH1003014-041635</t>
  </si>
  <si>
    <t>IN-2012-DP131057-41215</t>
  </si>
  <si>
    <t>32/13/2020</t>
  </si>
  <si>
    <t>CA-2013-AH10030140-41635</t>
  </si>
  <si>
    <t>CG-2012-AH1003033-41165</t>
  </si>
  <si>
    <t>CA-2012-AH10030140-41041</t>
  </si>
  <si>
    <t>CA-2012-AH10030140-41273</t>
  </si>
  <si>
    <t>ES-2015-PO18865139-42018</t>
  </si>
  <si>
    <t>IN-2012-DL128657-40918</t>
  </si>
  <si>
    <t>ID-2014-JB1600059-41873</t>
  </si>
  <si>
    <t>IN-2015-BF1100558-42319</t>
  </si>
  <si>
    <t>IN-2015-VG2180558-42273</t>
  </si>
  <si>
    <t>ES-2013-GT14710139-41621</t>
  </si>
  <si>
    <t>IT-2012-ZC2191048-41174</t>
  </si>
  <si>
    <t>CA-2014-AH10030140-41719</t>
  </si>
  <si>
    <t>IT-2014-EB1384045-41706</t>
  </si>
  <si>
    <t>IN-2015-AP1091527-42244</t>
  </si>
  <si>
    <t>IN-2015-SW2027558-42125</t>
  </si>
  <si>
    <t>MX-2015-JH15820141-42356</t>
  </si>
  <si>
    <t>US-2012-AH10030140-41206</t>
  </si>
  <si>
    <t>Customer Name</t>
  </si>
  <si>
    <t>Craig Reiter</t>
  </si>
  <si>
    <t>Katherine Murray</t>
  </si>
  <si>
    <t>Rick Hansen</t>
  </si>
  <si>
    <t>Jim Mitchum</t>
  </si>
  <si>
    <t>Toby Swindell</t>
  </si>
  <si>
    <t>Mick Brown</t>
  </si>
  <si>
    <t>Aaron Bergman</t>
  </si>
  <si>
    <t>Anthony Jacobs</t>
  </si>
  <si>
    <t>Magdelene Morse</t>
  </si>
  <si>
    <t>Vicky Freymann</t>
  </si>
  <si>
    <t>Peter Fuller</t>
  </si>
  <si>
    <t>Ben Peterman</t>
  </si>
  <si>
    <t>Jim Sink</t>
  </si>
  <si>
    <t>Ritsa Hightower</t>
  </si>
  <si>
    <t>Ann Blume</t>
  </si>
  <si>
    <t>Jason Klamczynski</t>
  </si>
  <si>
    <t>Laurel Beltran</t>
  </si>
  <si>
    <t>Naresj Patel</t>
  </si>
  <si>
    <t>Valerie Dominguez</t>
  </si>
  <si>
    <t>Phillip Breyer</t>
  </si>
  <si>
    <t>Eugene Barchas</t>
  </si>
  <si>
    <t>Aaron Hawkins</t>
  </si>
  <si>
    <t>Benjamin Patterson</t>
  </si>
  <si>
    <t>Rick Reed</t>
  </si>
  <si>
    <t>Bill Shonely</t>
  </si>
  <si>
    <t>Dave Poirier</t>
  </si>
  <si>
    <t>Dan Lawera</t>
  </si>
  <si>
    <t>Joy Bell-</t>
  </si>
  <si>
    <t>Barry Franz</t>
  </si>
  <si>
    <t>Vivek Grady</t>
  </si>
  <si>
    <t>Greg Tran</t>
  </si>
  <si>
    <t>Zuschuss Carroll</t>
  </si>
  <si>
    <t>Elli sBallard</t>
  </si>
  <si>
    <t>Arthur Prichep</t>
  </si>
  <si>
    <t>Scott Williamson</t>
  </si>
  <si>
    <t>John Huston</t>
  </si>
  <si>
    <t>TASK 12-Date &amp; Time Functions</t>
  </si>
  <si>
    <t>1.Today function using current date</t>
  </si>
  <si>
    <t>2.Now function using current</t>
  </si>
  <si>
    <t>date and time mention</t>
  </si>
  <si>
    <t>Order Year</t>
  </si>
  <si>
    <t xml:space="preserve"> </t>
  </si>
  <si>
    <t>Null</t>
  </si>
  <si>
    <t>Order Month</t>
  </si>
  <si>
    <t>Weekday</t>
  </si>
  <si>
    <t>Project status</t>
  </si>
  <si>
    <t>3.Oder date column using YEAR,</t>
  </si>
  <si>
    <t>MONTH,WEEKDAY function</t>
  </si>
  <si>
    <t xml:space="preserve">4.IF statement using the contion </t>
  </si>
  <si>
    <t>&lt;=today completed project else pending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</si>
</sst>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B0F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4" fillId="0" borderId="0" xfId="0" applyFont="1"/>
    <xf numFmtId="0" fontId="0" fillId="34" borderId="12" xfId="0" applyFont="1" applyFill="1" applyBorder="1"/>
    <xf numFmtId="0" fontId="0" fillId="0" borderId="0" xfId="0"/>
    <xf numFmtId="0" fontId="0" fillId="0" borderId="0" xfId="0"/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4" borderId="11" xfId="0" applyFont="1" applyFill="1" applyBorder="1"/>
    <xf numFmtId="0" fontId="18" fillId="33" borderId="13" xfId="0" applyFont="1" applyFill="1" applyBorder="1"/>
    <xf numFmtId="0" fontId="18" fillId="33" borderId="14" xfId="0" applyFont="1" applyFill="1" applyBorder="1"/>
    <xf numFmtId="14" fontId="18" fillId="33" borderId="14" xfId="0" applyNumberFormat="1" applyFont="1" applyFill="1" applyBorder="1"/>
    <xf numFmtId="0" fontId="18" fillId="33" borderId="15" xfId="0" applyFont="1" applyFill="1" applyBorder="1"/>
    <xf numFmtId="0" fontId="0" fillId="34" borderId="13" xfId="0" applyFont="1" applyFill="1" applyBorder="1"/>
    <xf numFmtId="0" fontId="0" fillId="34" borderId="14" xfId="0" applyFont="1" applyFill="1" applyBorder="1"/>
    <xf numFmtId="14" fontId="0" fillId="34" borderId="14" xfId="0" applyNumberFormat="1" applyFont="1" applyFill="1" applyBorder="1" applyAlignment="1">
      <alignment horizontal="center"/>
    </xf>
    <xf numFmtId="0" fontId="0" fillId="34" borderId="14" xfId="0" applyFont="1" applyFill="1" applyBorder="1" applyAlignment="1">
      <alignment horizontal="center"/>
    </xf>
    <xf numFmtId="0" fontId="0" fillId="34" borderId="15" xfId="0" applyFont="1" applyFill="1" applyBorder="1"/>
    <xf numFmtId="0" fontId="0" fillId="0" borderId="13" xfId="0" applyFont="1" applyBorder="1"/>
    <xf numFmtId="0" fontId="0" fillId="0" borderId="14" xfId="0" applyFont="1" applyBorder="1"/>
    <xf numFmtId="14" fontId="0" fillId="0" borderId="14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/>
    <xf numFmtId="0" fontId="0" fillId="34" borderId="10" xfId="0" applyFont="1" applyFill="1" applyBorder="1"/>
    <xf numFmtId="14" fontId="0" fillId="34" borderId="11" xfId="0" applyNumberFormat="1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171" fontId="18" fillId="33" borderId="14" xfId="0" applyNumberFormat="1" applyFont="1" applyFill="1" applyBorder="1"/>
    <xf numFmtId="171" fontId="0" fillId="34" borderId="14" xfId="0" applyNumberFormat="1" applyFont="1" applyFill="1" applyBorder="1" applyAlignment="1">
      <alignment horizontal="center"/>
    </xf>
    <xf numFmtId="171" fontId="0" fillId="0" borderId="14" xfId="0" applyNumberFormat="1" applyFont="1" applyBorder="1" applyAlignment="1">
      <alignment horizontal="center"/>
    </xf>
    <xf numFmtId="171" fontId="0" fillId="34" borderId="11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AD8A-3A53-4153-8E3C-7847F81A482A}">
  <dimension ref="A1:K51"/>
  <sheetViews>
    <sheetView tabSelected="1" topLeftCell="C1" workbookViewId="0">
      <selection activeCell="F1" sqref="F1"/>
    </sheetView>
  </sheetViews>
  <sheetFormatPr defaultRowHeight="14.4" x14ac:dyDescent="0.3"/>
  <cols>
    <col min="1" max="1" width="26.21875" customWidth="1"/>
    <col min="2" max="2" width="26.21875" style="3" customWidth="1"/>
    <col min="3" max="3" width="26.21875" style="4" customWidth="1"/>
    <col min="4" max="4" width="21.77734375" customWidth="1"/>
    <col min="5" max="7" width="21.77734375" style="5" customWidth="1"/>
    <col min="8" max="8" width="20.88671875" customWidth="1"/>
    <col min="9" max="9" width="27.77734375" customWidth="1"/>
    <col min="10" max="10" width="38" customWidth="1"/>
    <col min="11" max="11" width="18.109375" customWidth="1"/>
    <col min="12" max="12" width="29.109375" customWidth="1"/>
    <col min="13" max="13" width="15.44140625" bestFit="1" customWidth="1"/>
  </cols>
  <sheetData>
    <row r="1" spans="1:11" ht="15.6" x14ac:dyDescent="0.3">
      <c r="A1" s="9" t="s">
        <v>0</v>
      </c>
      <c r="B1" s="10" t="s">
        <v>49</v>
      </c>
      <c r="C1" s="26" t="s">
        <v>1</v>
      </c>
      <c r="D1" s="26" t="s">
        <v>2</v>
      </c>
      <c r="E1" s="11" t="s">
        <v>95</v>
      </c>
      <c r="F1" s="10" t="s">
        <v>90</v>
      </c>
      <c r="G1" s="10" t="s">
        <v>93</v>
      </c>
      <c r="H1" s="12" t="s">
        <v>94</v>
      </c>
      <c r="J1" s="1" t="s">
        <v>86</v>
      </c>
    </row>
    <row r="2" spans="1:11" x14ac:dyDescent="0.3">
      <c r="A2" s="13" t="s">
        <v>3</v>
      </c>
      <c r="B2" s="14" t="s">
        <v>50</v>
      </c>
      <c r="C2" s="27">
        <v>41919</v>
      </c>
      <c r="D2" s="27">
        <v>41930</v>
      </c>
      <c r="E2" s="15" t="str">
        <f ca="1">IF(Sheet1!$D2&lt;=TODAY(),"COMPLETED","PENDING")</f>
        <v>COMPLETED</v>
      </c>
      <c r="F2" s="16">
        <f>YEAR(Sheet1!$C2)</f>
        <v>2014</v>
      </c>
      <c r="G2" s="14">
        <f>MONTH(Sheet1!$C2)</f>
        <v>10</v>
      </c>
      <c r="H2" s="17">
        <f>WEEKDAY(Sheet1!$C2)</f>
        <v>3</v>
      </c>
    </row>
    <row r="3" spans="1:11" x14ac:dyDescent="0.3">
      <c r="A3" s="18" t="s">
        <v>4</v>
      </c>
      <c r="B3" s="19" t="s">
        <v>51</v>
      </c>
      <c r="C3" s="28">
        <v>41667</v>
      </c>
      <c r="D3" s="28">
        <v>41669</v>
      </c>
      <c r="E3" s="20" t="str">
        <f ca="1">IF(Sheet1!$D3&lt;=TODAY(),"COMPLETED","PENDING")</f>
        <v>COMPLETED</v>
      </c>
      <c r="F3" s="19">
        <v>2014</v>
      </c>
      <c r="G3" s="22">
        <f>WEEKDAY(Sheet1!$C3)</f>
        <v>3</v>
      </c>
      <c r="J3" s="7" t="s">
        <v>87</v>
      </c>
      <c r="K3" s="7">
        <f ca="1">TODAY()</f>
        <v>45977</v>
      </c>
    </row>
    <row r="4" spans="1:11" x14ac:dyDescent="0.3">
      <c r="A4" s="13"/>
      <c r="B4" s="14" t="s">
        <v>52</v>
      </c>
      <c r="C4" s="27">
        <v>41948</v>
      </c>
      <c r="D4" s="27">
        <v>41949</v>
      </c>
      <c r="E4" s="15" t="str">
        <f ca="1">IF(Sheet1!$D4&lt;=TODAY(),"COMPLETED","PENDING")</f>
        <v>COMPLETED</v>
      </c>
      <c r="F4" s="16">
        <f>YEAR(Sheet1!$C4)</f>
        <v>2014</v>
      </c>
      <c r="G4" s="14">
        <f>MONTH(Sheet1!$C4)</f>
        <v>11</v>
      </c>
      <c r="H4" s="17">
        <f>WEEKDAY(Sheet1!$C4)</f>
        <v>4</v>
      </c>
      <c r="J4" t="s">
        <v>88</v>
      </c>
      <c r="K4" s="6">
        <f ca="1">NOW()</f>
        <v>45977.721160763889</v>
      </c>
    </row>
    <row r="5" spans="1:11" x14ac:dyDescent="0.3">
      <c r="A5" s="18" t="s">
        <v>5</v>
      </c>
      <c r="B5" s="19" t="s">
        <v>53</v>
      </c>
      <c r="C5" s="28">
        <v>41818</v>
      </c>
      <c r="D5" s="28">
        <v>41821</v>
      </c>
      <c r="E5" s="20" t="str">
        <f ca="1">IF(Sheet1!$D5&lt;=TODAY(),"COMPLETED","PENDING")</f>
        <v>COMPLETED</v>
      </c>
      <c r="F5" s="21">
        <f>YEAR(Sheet1!$C5)</f>
        <v>2014</v>
      </c>
      <c r="G5" s="19">
        <f>MONTH(Sheet1!$C5)</f>
        <v>6</v>
      </c>
      <c r="H5" s="22">
        <f>WEEKDAY(Sheet1!$C5)</f>
        <v>7</v>
      </c>
      <c r="J5" t="s">
        <v>89</v>
      </c>
    </row>
    <row r="6" spans="1:11" x14ac:dyDescent="0.3">
      <c r="A6" s="13"/>
      <c r="B6" s="14" t="s">
        <v>54</v>
      </c>
      <c r="C6" s="27">
        <v>41219</v>
      </c>
      <c r="D6" s="27">
        <v>41221</v>
      </c>
      <c r="E6" s="15" t="str">
        <f ca="1">IF(Sheet1!$D6&lt;=TODAY(),"COMPLETED","PENDING")</f>
        <v>COMPLETED</v>
      </c>
      <c r="F6" s="16">
        <f>YEAR(Sheet1!$C6)</f>
        <v>2012</v>
      </c>
      <c r="G6" s="14">
        <f>MONTH(Sheet1!$C6)</f>
        <v>11</v>
      </c>
      <c r="H6" s="17">
        <f>WEEKDAY(Sheet1!$C6)</f>
        <v>3</v>
      </c>
      <c r="J6" t="s">
        <v>96</v>
      </c>
    </row>
    <row r="7" spans="1:11" x14ac:dyDescent="0.3">
      <c r="A7" s="18" t="s">
        <v>6</v>
      </c>
      <c r="B7" s="19" t="s">
        <v>55</v>
      </c>
      <c r="C7" s="28"/>
      <c r="D7" s="28"/>
      <c r="E7" s="20" t="str">
        <f ca="1">IF(Sheet1!$D7&lt;=TODAY(),"COMPLETED","PENDING")</f>
        <v>COMPLETED</v>
      </c>
      <c r="F7" s="21">
        <f>YEAR(Sheet1!$C7)</f>
        <v>1900</v>
      </c>
      <c r="G7" s="19">
        <f>MONTH(Sheet1!$C7)</f>
        <v>1</v>
      </c>
      <c r="H7" s="22">
        <f>WEEKDAY(Sheet1!$C7)</f>
        <v>7</v>
      </c>
      <c r="J7" t="s">
        <v>97</v>
      </c>
    </row>
    <row r="8" spans="1:11" x14ac:dyDescent="0.3">
      <c r="A8" s="13" t="s">
        <v>7</v>
      </c>
      <c r="B8" s="14" t="s">
        <v>56</v>
      </c>
      <c r="C8" s="27">
        <v>41954</v>
      </c>
      <c r="D8" s="27">
        <v>41956</v>
      </c>
      <c r="E8" s="15" t="str">
        <f ca="1">IF(Sheet1!$D8&lt;=TODAY(),"COMPLETED","PENDING")</f>
        <v>COMPLETED</v>
      </c>
      <c r="F8" s="16">
        <f>YEAR(Sheet1!$C8)</f>
        <v>2014</v>
      </c>
      <c r="G8" s="14">
        <f>MONTH(Sheet1!$C8)</f>
        <v>11</v>
      </c>
      <c r="H8" s="17">
        <f>WEEKDAY(Sheet1!$C8)</f>
        <v>3</v>
      </c>
      <c r="J8" t="s">
        <v>98</v>
      </c>
    </row>
    <row r="9" spans="1:11" x14ac:dyDescent="0.3">
      <c r="A9" s="18" t="s">
        <v>8</v>
      </c>
      <c r="B9" s="19" t="s">
        <v>56</v>
      </c>
      <c r="C9" s="28">
        <v>40974</v>
      </c>
      <c r="D9" s="28">
        <v>40975</v>
      </c>
      <c r="E9" s="20" t="str">
        <f ca="1">IF(Sheet1!$D9&lt;=TODAY(),"COMPLETED","PENDING")</f>
        <v>COMPLETED</v>
      </c>
      <c r="F9" s="21">
        <f>YEAR(Sheet1!$C9)</f>
        <v>2012</v>
      </c>
      <c r="G9" s="19">
        <f>MONTH(Sheet1!$C9)</f>
        <v>3</v>
      </c>
      <c r="H9" s="22">
        <f>WEEKDAY(Sheet1!$C9)</f>
        <v>3</v>
      </c>
      <c r="J9" t="s">
        <v>99</v>
      </c>
    </row>
    <row r="10" spans="1:11" x14ac:dyDescent="0.3">
      <c r="A10" s="13" t="s">
        <v>8</v>
      </c>
      <c r="B10" s="14" t="s">
        <v>56</v>
      </c>
      <c r="C10" s="27">
        <v>40974</v>
      </c>
      <c r="D10" s="27">
        <v>40975</v>
      </c>
      <c r="E10" s="15" t="str">
        <f ca="1">IF(Sheet1!$D10&lt;=TODAY(),"COMPLETED","PENDING")</f>
        <v>COMPLETED</v>
      </c>
      <c r="F10" s="16">
        <f>YEAR(Sheet1!$C10)</f>
        <v>2012</v>
      </c>
      <c r="G10" s="14">
        <f>MONTH(Sheet1!$C10)</f>
        <v>3</v>
      </c>
      <c r="H10" s="17">
        <f>WEEKDAY(Sheet1!$C10)</f>
        <v>3</v>
      </c>
    </row>
    <row r="11" spans="1:11" x14ac:dyDescent="0.3">
      <c r="A11" s="18" t="s">
        <v>9</v>
      </c>
      <c r="B11" s="19" t="s">
        <v>57</v>
      </c>
      <c r="C11" s="28">
        <v>41383</v>
      </c>
      <c r="D11" s="28" t="s">
        <v>91</v>
      </c>
      <c r="E11" s="20" t="str">
        <f ca="1">IF(Sheet1!$D11&lt;=TODAY(),"COMPLETED","PENDING")</f>
        <v>PENDING</v>
      </c>
      <c r="F11" s="21">
        <f>YEAR(Sheet1!$C11)</f>
        <v>2013</v>
      </c>
      <c r="G11" s="19">
        <f>MONTH(Sheet1!$C11)</f>
        <v>4</v>
      </c>
      <c r="H11" s="22">
        <f>WEEKDAY(Sheet1!$C11)</f>
        <v>6</v>
      </c>
    </row>
    <row r="12" spans="1:11" x14ac:dyDescent="0.3">
      <c r="A12" s="13" t="s">
        <v>10</v>
      </c>
      <c r="B12" s="14" t="s">
        <v>58</v>
      </c>
      <c r="C12" s="27">
        <v>41269</v>
      </c>
      <c r="D12" s="27"/>
      <c r="E12" s="15" t="str">
        <f ca="1">IF(Sheet1!$D12&lt;=TODAY(),"COMPLETED","PENDING")</f>
        <v>COMPLETED</v>
      </c>
      <c r="F12" s="16">
        <f>YEAR(Sheet1!$C12)</f>
        <v>2012</v>
      </c>
      <c r="G12" s="14">
        <f>MONTH(Sheet1!$C12)</f>
        <v>12</v>
      </c>
      <c r="H12" s="17">
        <f>WEEKDAY(Sheet1!$C12)</f>
        <v>4</v>
      </c>
    </row>
    <row r="13" spans="1:11" x14ac:dyDescent="0.3">
      <c r="A13" s="18" t="s">
        <v>11</v>
      </c>
      <c r="B13" s="19" t="s">
        <v>59</v>
      </c>
      <c r="C13" s="28">
        <v>41591</v>
      </c>
      <c r="D13" s="28">
        <v>41591</v>
      </c>
      <c r="E13" s="20" t="str">
        <f ca="1">IF(Sheet1!$D13&lt;=TODAY(),"COMPLETED","PENDING")</f>
        <v>COMPLETED</v>
      </c>
      <c r="F13" s="21">
        <f>YEAR(Sheet1!$C13)</f>
        <v>2013</v>
      </c>
      <c r="G13" s="19">
        <f>MONTH(Sheet1!$C13)</f>
        <v>11</v>
      </c>
      <c r="H13" s="22">
        <f>WEEKDAY(Sheet1!$C13)</f>
        <v>4</v>
      </c>
    </row>
    <row r="14" spans="1:11" x14ac:dyDescent="0.3">
      <c r="A14" s="13" t="s">
        <v>12</v>
      </c>
      <c r="B14" s="14" t="s">
        <v>60</v>
      </c>
      <c r="C14" s="27">
        <v>41796</v>
      </c>
      <c r="D14" s="27">
        <v>41798</v>
      </c>
      <c r="E14" s="15" t="str">
        <f ca="1">IF(Sheet1!$D14&lt;=TODAY(),"COMPLETED","PENDING")</f>
        <v>COMPLETED</v>
      </c>
      <c r="F14" s="16">
        <f>YEAR(Sheet1!$C14)</f>
        <v>2014</v>
      </c>
      <c r="G14" s="14">
        <f>MONTH(Sheet1!$C14)</f>
        <v>6</v>
      </c>
      <c r="H14" s="17">
        <f>WEEKDAY(Sheet1!$C14)</f>
        <v>6</v>
      </c>
    </row>
    <row r="15" spans="1:11" x14ac:dyDescent="0.3">
      <c r="A15" s="18" t="s">
        <v>13</v>
      </c>
      <c r="B15" s="19" t="s">
        <v>61</v>
      </c>
      <c r="C15" s="28">
        <v>42216</v>
      </c>
      <c r="D15" s="28">
        <v>42219</v>
      </c>
      <c r="E15" s="20" t="str">
        <f ca="1">IF(Sheet1!$D15&lt;=TODAY(),"COMPLETED","PENDING")</f>
        <v>COMPLETED</v>
      </c>
      <c r="F15" s="21">
        <f>YEAR(Sheet1!$C15)</f>
        <v>2015</v>
      </c>
      <c r="G15" s="19">
        <f>MONTH(Sheet1!$C15)</f>
        <v>7</v>
      </c>
      <c r="H15" s="22">
        <f>WEEKDAY(Sheet1!$C15)</f>
        <v>6</v>
      </c>
    </row>
    <row r="16" spans="1:11" x14ac:dyDescent="0.3">
      <c r="A16" s="13" t="s">
        <v>14</v>
      </c>
      <c r="B16" s="14" t="s">
        <v>56</v>
      </c>
      <c r="C16" s="27">
        <v>40958</v>
      </c>
      <c r="D16" s="27">
        <v>40964</v>
      </c>
      <c r="E16" s="15" t="str">
        <f ca="1">IF(Sheet1!$D16&lt;=TODAY(),"COMPLETED","PENDING")</f>
        <v>COMPLETED</v>
      </c>
      <c r="F16" s="16">
        <f>YEAR(Sheet1!$C16)</f>
        <v>2012</v>
      </c>
      <c r="G16" s="14">
        <f>MONTH(Sheet1!$C16)</f>
        <v>2</v>
      </c>
      <c r="H16" s="17">
        <f>WEEKDAY(Sheet1!$C16)</f>
        <v>1</v>
      </c>
    </row>
    <row r="17" spans="1:11" x14ac:dyDescent="0.3">
      <c r="A17" s="18" t="s">
        <v>15</v>
      </c>
      <c r="B17" s="19"/>
      <c r="C17" s="28">
        <v>42255</v>
      </c>
      <c r="D17" s="28">
        <v>42261</v>
      </c>
      <c r="E17" s="20" t="str">
        <f ca="1">IF(Sheet1!$D17&lt;=TODAY(),"COMPLETED","PENDING")</f>
        <v>COMPLETED</v>
      </c>
      <c r="F17" s="21">
        <f>YEAR(Sheet1!$C17)</f>
        <v>2015</v>
      </c>
      <c r="G17" s="19">
        <f>MONTH(Sheet1!$C17)</f>
        <v>9</v>
      </c>
      <c r="H17" s="22">
        <f>WEEKDAY(Sheet1!$C17)</f>
        <v>3</v>
      </c>
    </row>
    <row r="18" spans="1:11" x14ac:dyDescent="0.3">
      <c r="A18" s="13" t="s">
        <v>16</v>
      </c>
      <c r="B18" s="14" t="s">
        <v>62</v>
      </c>
      <c r="C18" s="27">
        <v>42035</v>
      </c>
      <c r="D18" s="27">
        <v>42036</v>
      </c>
      <c r="E18" s="15" t="str">
        <f ca="1">IF(Sheet1!$D18&lt;=TODAY(),"COMPLETED","PENDING")</f>
        <v>COMPLETED</v>
      </c>
      <c r="F18" s="16">
        <f>YEAR(Sheet1!$C18)</f>
        <v>2015</v>
      </c>
      <c r="G18" s="14">
        <f>MONTH(Sheet1!$C18)</f>
        <v>1</v>
      </c>
      <c r="H18" s="17">
        <f>WEEKDAY(Sheet1!$C18)</f>
        <v>7</v>
      </c>
    </row>
    <row r="19" spans="1:11" x14ac:dyDescent="0.3">
      <c r="A19" s="18" t="s">
        <v>17</v>
      </c>
      <c r="B19" s="19" t="s">
        <v>63</v>
      </c>
      <c r="C19" s="28">
        <v>42343</v>
      </c>
      <c r="D19" s="28">
        <v>42345</v>
      </c>
      <c r="E19" s="20" t="str">
        <f ca="1">IF(Sheet1!$D19&lt;=TODAY(),"COMPLETED","PENDING")</f>
        <v>COMPLETED</v>
      </c>
      <c r="F19" s="21">
        <f>YEAR(Sheet1!$C19)</f>
        <v>2015</v>
      </c>
      <c r="G19" s="19">
        <f>MONTH(Sheet1!$C19)</f>
        <v>12</v>
      </c>
      <c r="H19" s="22">
        <f>WEEKDAY(Sheet1!$C19)</f>
        <v>7</v>
      </c>
    </row>
    <row r="20" spans="1:11" x14ac:dyDescent="0.3">
      <c r="A20" s="13" t="s">
        <v>18</v>
      </c>
      <c r="B20" s="14" t="s">
        <v>64</v>
      </c>
      <c r="C20" s="27">
        <v>41494</v>
      </c>
      <c r="D20" s="27">
        <v>41496</v>
      </c>
      <c r="E20" s="15" t="str">
        <f ca="1">IF(Sheet1!$D20&lt;=TODAY(),"COMPLETED","PENDING")</f>
        <v>COMPLETED</v>
      </c>
      <c r="F20" s="16">
        <f>YEAR(Sheet1!$C20)</f>
        <v>2013</v>
      </c>
      <c r="G20" s="14">
        <f>MONTH(Sheet1!$C20)</f>
        <v>8</v>
      </c>
      <c r="H20" s="17">
        <f>WEEKDAY(Sheet1!$C20)</f>
        <v>5</v>
      </c>
    </row>
    <row r="21" spans="1:11" x14ac:dyDescent="0.3">
      <c r="A21" s="18" t="s">
        <v>8</v>
      </c>
      <c r="B21" s="19" t="s">
        <v>56</v>
      </c>
      <c r="C21" s="28">
        <v>40974</v>
      </c>
      <c r="D21" s="28">
        <v>40975</v>
      </c>
      <c r="E21" s="20" t="str">
        <f ca="1">IF(Sheet1!$D21&lt;=TODAY(),"COMPLETED","PENDING")</f>
        <v>COMPLETED</v>
      </c>
      <c r="F21" s="21">
        <f>YEAR(Sheet1!$C21)</f>
        <v>2012</v>
      </c>
      <c r="G21" s="19">
        <f>MONTH(Sheet1!$C21)</f>
        <v>3</v>
      </c>
      <c r="H21" s="22">
        <f>WEEKDAY(Sheet1!$C21)</f>
        <v>3</v>
      </c>
    </row>
    <row r="22" spans="1:11" x14ac:dyDescent="0.3">
      <c r="A22" s="13" t="s">
        <v>19</v>
      </c>
      <c r="B22" s="14" t="s">
        <v>65</v>
      </c>
      <c r="C22" s="27">
        <v>41030</v>
      </c>
      <c r="D22" s="27">
        <v>41031</v>
      </c>
      <c r="E22" s="15" t="str">
        <f ca="1">IF(Sheet1!$D22&lt;=TODAY(),"COMPLETED","PENDING")</f>
        <v>COMPLETED</v>
      </c>
      <c r="F22" s="16">
        <f>YEAR(Sheet1!$C22)</f>
        <v>2012</v>
      </c>
      <c r="G22" s="14">
        <f>MONTH(Sheet1!$C22)</f>
        <v>5</v>
      </c>
      <c r="H22" s="17">
        <f>WEEKDAY(Sheet1!$C22)</f>
        <v>3</v>
      </c>
      <c r="J22" s="7"/>
      <c r="K22" s="7"/>
    </row>
    <row r="23" spans="1:11" x14ac:dyDescent="0.3">
      <c r="A23" s="18" t="s">
        <v>20</v>
      </c>
      <c r="B23" s="19" t="s">
        <v>66</v>
      </c>
      <c r="C23" s="28">
        <v>41697</v>
      </c>
      <c r="D23" s="28">
        <v>41699</v>
      </c>
      <c r="E23" s="20" t="str">
        <f ca="1">IF(Sheet1!$D23&lt;=TODAY(),"COMPLETED","PENDING")</f>
        <v>COMPLETED</v>
      </c>
      <c r="F23" s="21">
        <f>YEAR(Sheet1!$C23)</f>
        <v>2014</v>
      </c>
      <c r="G23" s="19">
        <f>MONTH(Sheet1!$C23)</f>
        <v>2</v>
      </c>
      <c r="H23" s="22">
        <f>WEEKDAY(Sheet1!$C23)</f>
        <v>5</v>
      </c>
    </row>
    <row r="24" spans="1:11" x14ac:dyDescent="0.3">
      <c r="A24" s="13" t="s">
        <v>21</v>
      </c>
      <c r="B24" s="14" t="s">
        <v>67</v>
      </c>
      <c r="C24" s="27">
        <v>42216</v>
      </c>
      <c r="D24" s="27">
        <v>42217</v>
      </c>
      <c r="E24" s="15" t="str">
        <f ca="1">IF(Sheet1!$D24&lt;=TODAY(),"COMPLETED","PENDING")</f>
        <v>COMPLETED</v>
      </c>
      <c r="F24" s="16">
        <f>YEAR(Sheet1!$C24)</f>
        <v>2015</v>
      </c>
      <c r="G24" s="14">
        <f>MONTH(Sheet1!$C24)</f>
        <v>7</v>
      </c>
      <c r="H24" s="17">
        <f>WEEKDAY(Sheet1!$C24)</f>
        <v>6</v>
      </c>
    </row>
    <row r="25" spans="1:11" x14ac:dyDescent="0.3">
      <c r="A25" s="18" t="s">
        <v>22</v>
      </c>
      <c r="B25" s="19" t="s">
        <v>68</v>
      </c>
      <c r="C25" s="28">
        <v>42252</v>
      </c>
      <c r="D25" s="28">
        <v>42255</v>
      </c>
      <c r="E25" s="20" t="str">
        <f ca="1">IF(Sheet1!$D25&lt;=TODAY(),"COMPLETED","PENDING")</f>
        <v>COMPLETED</v>
      </c>
      <c r="F25" s="21">
        <f>YEAR(Sheet1!$C25)</f>
        <v>2015</v>
      </c>
      <c r="G25" s="19">
        <f>MONTH(Sheet1!$C25)</f>
        <v>9</v>
      </c>
      <c r="H25" s="22">
        <f>WEEKDAY(Sheet1!$C25)</f>
        <v>7</v>
      </c>
    </row>
    <row r="26" spans="1:11" x14ac:dyDescent="0.3">
      <c r="A26" s="13" t="s">
        <v>23</v>
      </c>
      <c r="B26" s="14" t="s">
        <v>69</v>
      </c>
      <c r="C26" s="27">
        <v>41259</v>
      </c>
      <c r="D26" s="27">
        <v>41262</v>
      </c>
      <c r="E26" s="15" t="str">
        <f ca="1">IF(Sheet1!$D26&lt;=TODAY(),"COMPLETED","PENDING")</f>
        <v>COMPLETED</v>
      </c>
      <c r="F26" s="16">
        <f>YEAR(Sheet1!$C26)</f>
        <v>2012</v>
      </c>
      <c r="G26" s="14">
        <f>MONTH(Sheet1!$C26)</f>
        <v>12</v>
      </c>
      <c r="H26" s="17">
        <f>WEEKDAY(Sheet1!$C26)</f>
        <v>1</v>
      </c>
    </row>
    <row r="27" spans="1:11" x14ac:dyDescent="0.3">
      <c r="A27" s="18" t="s">
        <v>24</v>
      </c>
      <c r="B27" s="19" t="s">
        <v>70</v>
      </c>
      <c r="C27" s="28"/>
      <c r="D27" s="28">
        <v>40984</v>
      </c>
      <c r="E27" s="20" t="str">
        <f ca="1">IF(Sheet1!$D27&lt;=TODAY(),"COMPLETED","PENDING")</f>
        <v>COMPLETED</v>
      </c>
      <c r="F27" s="21">
        <f>YEAR(Sheet1!$C27)</f>
        <v>1900</v>
      </c>
      <c r="G27" s="19">
        <f>MONTH(Sheet1!$C27)</f>
        <v>1</v>
      </c>
      <c r="H27" s="22">
        <f>WEEKDAY(Sheet1!$C27)</f>
        <v>7</v>
      </c>
    </row>
    <row r="28" spans="1:11" x14ac:dyDescent="0.3">
      <c r="A28" s="13" t="s">
        <v>25</v>
      </c>
      <c r="B28" s="14" t="s">
        <v>71</v>
      </c>
      <c r="C28" s="27">
        <v>41020</v>
      </c>
      <c r="D28" s="27">
        <v>41022</v>
      </c>
      <c r="E28" s="15" t="str">
        <f ca="1">IF(Sheet1!$D28&lt;=TODAY(),"COMPLETED","PENDING")</f>
        <v>COMPLETED</v>
      </c>
      <c r="F28" s="16">
        <f>YEAR(Sheet1!$C28)</f>
        <v>2012</v>
      </c>
      <c r="G28" s="14">
        <f>MONTH(Sheet1!$C28)</f>
        <v>4</v>
      </c>
      <c r="H28" s="17">
        <f>WEEKDAY(Sheet1!$C28)</f>
        <v>7</v>
      </c>
    </row>
    <row r="29" spans="1:11" x14ac:dyDescent="0.3">
      <c r="A29" s="18" t="s">
        <v>26</v>
      </c>
      <c r="B29" s="19" t="s">
        <v>72</v>
      </c>
      <c r="C29" s="28">
        <v>41329</v>
      </c>
      <c r="D29" s="28">
        <v>41329</v>
      </c>
      <c r="E29" s="20" t="str">
        <f ca="1">IF(Sheet1!$D29&lt;=TODAY(),"COMPLETED","PENDING")</f>
        <v>COMPLETED</v>
      </c>
      <c r="F29" s="21">
        <f>YEAR(Sheet1!$C29)</f>
        <v>2013</v>
      </c>
      <c r="G29" s="19">
        <f>MONTH(Sheet1!$C29)</f>
        <v>2</v>
      </c>
      <c r="H29" s="22">
        <f>WEEKDAY(Sheet1!$C29)</f>
        <v>1</v>
      </c>
    </row>
    <row r="30" spans="1:11" x14ac:dyDescent="0.3">
      <c r="A30" s="13" t="s">
        <v>27</v>
      </c>
      <c r="B30" s="14" t="s">
        <v>73</v>
      </c>
      <c r="C30" s="27">
        <v>41270</v>
      </c>
      <c r="D30" s="27" t="s">
        <v>91</v>
      </c>
      <c r="E30" s="15" t="str">
        <f ca="1">IF(Sheet1!$D30&lt;=TODAY(),"COMPLETED","PENDING")</f>
        <v>PENDING</v>
      </c>
      <c r="F30" s="16">
        <f>YEAR(Sheet1!$C30)</f>
        <v>2012</v>
      </c>
      <c r="G30" s="14">
        <f>MONTH(Sheet1!$C30)</f>
        <v>12</v>
      </c>
      <c r="H30" s="17">
        <f>WEEKDAY(Sheet1!$C30)</f>
        <v>5</v>
      </c>
    </row>
    <row r="31" spans="1:11" x14ac:dyDescent="0.3">
      <c r="A31" s="18" t="s">
        <v>28</v>
      </c>
      <c r="B31" s="19" t="s">
        <v>74</v>
      </c>
      <c r="C31" s="28">
        <v>41472</v>
      </c>
      <c r="D31" s="28">
        <v>41474</v>
      </c>
      <c r="E31" s="20" t="str">
        <f ca="1">IF(Sheet1!$D31&lt;=TODAY(),"COMPLETED","PENDING")</f>
        <v>COMPLETED</v>
      </c>
      <c r="F31" s="21">
        <f>YEAR(Sheet1!$C31)</f>
        <v>2013</v>
      </c>
      <c r="G31" s="19">
        <f>MONTH(Sheet1!$C31)</f>
        <v>7</v>
      </c>
      <c r="H31" s="22">
        <f>WEEKDAY(Sheet1!$C31)</f>
        <v>4</v>
      </c>
    </row>
    <row r="32" spans="1:11" x14ac:dyDescent="0.3">
      <c r="A32" s="13" t="s">
        <v>29</v>
      </c>
      <c r="B32" s="14" t="s">
        <v>71</v>
      </c>
      <c r="C32" s="27">
        <v>41635</v>
      </c>
      <c r="D32" s="27">
        <v>41639</v>
      </c>
      <c r="E32" s="15" t="str">
        <f ca="1">IF(Sheet1!$D32&lt;=TODAY(),"COMPLETED","PENDING")</f>
        <v>COMPLETED</v>
      </c>
      <c r="F32" s="16">
        <f>YEAR(Sheet1!$C32)</f>
        <v>2013</v>
      </c>
      <c r="G32" s="14">
        <f>MONTH(Sheet1!$C32)</f>
        <v>12</v>
      </c>
      <c r="H32" s="17">
        <f>WEEKDAY(Sheet1!$C32)</f>
        <v>6</v>
      </c>
    </row>
    <row r="33" spans="1:8" x14ac:dyDescent="0.3">
      <c r="A33" s="18" t="s">
        <v>30</v>
      </c>
      <c r="B33" s="19" t="s">
        <v>75</v>
      </c>
      <c r="C33" s="28" t="s">
        <v>31</v>
      </c>
      <c r="D33" s="28">
        <v>41217</v>
      </c>
      <c r="E33" s="20" t="str">
        <f ca="1">IF(Sheet1!$D33&lt;=TODAY(),"COMPLETED","PENDING")</f>
        <v>COMPLETED</v>
      </c>
      <c r="F33" s="21" t="s">
        <v>92</v>
      </c>
      <c r="G33" s="19" t="e">
        <f>MONTH(Sheet1!$C33)</f>
        <v>#VALUE!</v>
      </c>
      <c r="H33" s="22" t="e">
        <f>WEEKDAY(Sheet1!$C33)</f>
        <v>#VALUE!</v>
      </c>
    </row>
    <row r="34" spans="1:8" x14ac:dyDescent="0.3">
      <c r="A34" s="13" t="s">
        <v>32</v>
      </c>
      <c r="B34" s="14" t="s">
        <v>71</v>
      </c>
      <c r="C34" s="27">
        <v>41635</v>
      </c>
      <c r="D34" s="27">
        <v>41639</v>
      </c>
      <c r="E34" s="15" t="str">
        <f ca="1">IF(Sheet1!$D34&lt;=TODAY(),"COMPLETED","PENDING")</f>
        <v>COMPLETED</v>
      </c>
      <c r="F34" s="16">
        <f>YEAR(Sheet1!$C34)</f>
        <v>2013</v>
      </c>
      <c r="G34" s="14">
        <f>MONTH(Sheet1!$C34)</f>
        <v>12</v>
      </c>
      <c r="H34" s="17">
        <f>WEEKDAY(Sheet1!$C34)</f>
        <v>6</v>
      </c>
    </row>
    <row r="35" spans="1:8" x14ac:dyDescent="0.3">
      <c r="A35" s="18" t="s">
        <v>33</v>
      </c>
      <c r="B35" s="19" t="s">
        <v>71</v>
      </c>
      <c r="C35" s="28">
        <v>41165</v>
      </c>
      <c r="D35" s="28">
        <v>41166</v>
      </c>
      <c r="E35" s="20" t="str">
        <f ca="1">IF(Sheet1!$D35&lt;=TODAY(),"COMPLETED","PENDING")</f>
        <v>COMPLETED</v>
      </c>
      <c r="F35" s="21">
        <f>YEAR(Sheet1!$C35)</f>
        <v>2012</v>
      </c>
      <c r="G35" s="19">
        <f>MONTH(Sheet1!$C35)</f>
        <v>9</v>
      </c>
      <c r="H35" s="22">
        <f>WEEKDAY(Sheet1!$C35)</f>
        <v>5</v>
      </c>
    </row>
    <row r="36" spans="1:8" x14ac:dyDescent="0.3">
      <c r="A36" s="13" t="s">
        <v>34</v>
      </c>
      <c r="B36" s="14" t="s">
        <v>71</v>
      </c>
      <c r="C36" s="27">
        <v>41041</v>
      </c>
      <c r="D36" s="27"/>
      <c r="E36" s="15" t="str">
        <f ca="1">IF(Sheet1!$D36&lt;=TODAY(),"COMPLETED","PENDING")</f>
        <v>COMPLETED</v>
      </c>
      <c r="F36" s="16">
        <f>YEAR(Sheet1!$C36)</f>
        <v>2012</v>
      </c>
      <c r="G36" s="14">
        <f>MONTH(Sheet1!$C36)</f>
        <v>5</v>
      </c>
      <c r="H36" s="17">
        <f>WEEKDAY(Sheet1!$C36)</f>
        <v>7</v>
      </c>
    </row>
    <row r="37" spans="1:8" x14ac:dyDescent="0.3">
      <c r="A37" s="18" t="s">
        <v>35</v>
      </c>
      <c r="B37" s="19"/>
      <c r="C37" s="28">
        <v>41273</v>
      </c>
      <c r="D37" s="28">
        <v>41274</v>
      </c>
      <c r="E37" s="20" t="str">
        <f ca="1">IF(Sheet1!$D37&lt;=TODAY(),"COMPLETED","PENDING")</f>
        <v>COMPLETED</v>
      </c>
      <c r="F37" s="21">
        <f>YEAR(Sheet1!$C37)</f>
        <v>2012</v>
      </c>
      <c r="G37" s="19">
        <f>MONTH(Sheet1!$C37)</f>
        <v>12</v>
      </c>
      <c r="H37" s="22">
        <f>WEEKDAY(Sheet1!$C37)</f>
        <v>1</v>
      </c>
    </row>
    <row r="38" spans="1:8" x14ac:dyDescent="0.3">
      <c r="A38" s="13" t="s">
        <v>36</v>
      </c>
      <c r="B38" s="14"/>
      <c r="C38" s="27">
        <v>42018</v>
      </c>
      <c r="D38" s="27">
        <v>42022</v>
      </c>
      <c r="E38" s="15" t="str">
        <f ca="1">IF(Sheet1!$D38&lt;=TODAY(),"COMPLETED","PENDING")</f>
        <v>COMPLETED</v>
      </c>
      <c r="F38" s="16">
        <f>YEAR(Sheet1!$C38)</f>
        <v>2015</v>
      </c>
      <c r="G38" s="14">
        <f>MONTH(Sheet1!$C38)</f>
        <v>1</v>
      </c>
      <c r="H38" s="17">
        <f>WEEKDAY(Sheet1!$C38)</f>
        <v>4</v>
      </c>
    </row>
    <row r="39" spans="1:8" x14ac:dyDescent="0.3">
      <c r="A39" s="18" t="s">
        <v>37</v>
      </c>
      <c r="B39" s="19" t="s">
        <v>76</v>
      </c>
      <c r="C39" s="28">
        <v>40918</v>
      </c>
      <c r="D39" s="28">
        <v>41214</v>
      </c>
      <c r="E39" s="20" t="str">
        <f ca="1">IF(Sheet1!$D39&lt;=TODAY(),"COMPLETED","PENDING")</f>
        <v>COMPLETED</v>
      </c>
      <c r="F39" s="21">
        <f>YEAR(Sheet1!$C39)</f>
        <v>2012</v>
      </c>
      <c r="G39" s="19">
        <f>MONTH(Sheet1!$C39)</f>
        <v>1</v>
      </c>
      <c r="H39" s="22">
        <f>WEEKDAY(Sheet1!$C39)</f>
        <v>3</v>
      </c>
    </row>
    <row r="40" spans="1:8" x14ac:dyDescent="0.3">
      <c r="A40" s="13" t="s">
        <v>38</v>
      </c>
      <c r="B40" s="14" t="s">
        <v>77</v>
      </c>
      <c r="C40" s="27">
        <v>41873</v>
      </c>
      <c r="D40" s="27">
        <v>41877</v>
      </c>
      <c r="E40" s="15" t="str">
        <f ca="1">IF(Sheet1!$D40&lt;=TODAY(),"COMPLETED","PENDING")</f>
        <v>COMPLETED</v>
      </c>
      <c r="F40" s="16">
        <f>YEAR(Sheet1!$C40)</f>
        <v>2014</v>
      </c>
      <c r="G40" s="14">
        <f>MONTH(Sheet1!$C40)</f>
        <v>8</v>
      </c>
      <c r="H40" s="17">
        <f>WEEKDAY(Sheet1!$C40)</f>
        <v>6</v>
      </c>
    </row>
    <row r="41" spans="1:8" x14ac:dyDescent="0.3">
      <c r="A41" s="18" t="s">
        <v>39</v>
      </c>
      <c r="B41" s="19" t="s">
        <v>78</v>
      </c>
      <c r="C41" s="28">
        <v>42319</v>
      </c>
      <c r="D41" s="28">
        <v>42323</v>
      </c>
      <c r="E41" s="20" t="str">
        <f ca="1">IF(Sheet1!$D41&lt;=TODAY(),"COMPLETED","PENDING")</f>
        <v>COMPLETED</v>
      </c>
      <c r="F41" s="21">
        <f>YEAR(Sheet1!$C41)</f>
        <v>2015</v>
      </c>
      <c r="G41" s="19">
        <f>MONTH(Sheet1!$C41)</f>
        <v>11</v>
      </c>
      <c r="H41" s="22">
        <f>WEEKDAY(Sheet1!$C41)</f>
        <v>4</v>
      </c>
    </row>
    <row r="42" spans="1:8" x14ac:dyDescent="0.3">
      <c r="A42" s="13" t="s">
        <v>40</v>
      </c>
      <c r="B42" s="14" t="s">
        <v>79</v>
      </c>
      <c r="C42" s="27">
        <v>42273</v>
      </c>
      <c r="D42" s="27">
        <v>42275</v>
      </c>
      <c r="E42" s="15" t="str">
        <f ca="1">IF(Sheet1!$D42&lt;=TODAY(),"COMPLETED","PENDING")</f>
        <v>COMPLETED</v>
      </c>
      <c r="F42" s="16">
        <f>YEAR(Sheet1!$C42)</f>
        <v>2015</v>
      </c>
      <c r="G42" s="14">
        <f>MONTH(Sheet1!$C42)</f>
        <v>9</v>
      </c>
      <c r="H42" s="17">
        <f>WEEKDAY(Sheet1!$C42)</f>
        <v>7</v>
      </c>
    </row>
    <row r="43" spans="1:8" x14ac:dyDescent="0.3">
      <c r="A43" s="18" t="s">
        <v>41</v>
      </c>
      <c r="B43" s="19" t="s">
        <v>80</v>
      </c>
      <c r="C43" s="28">
        <v>41621</v>
      </c>
      <c r="D43" s="28">
        <v>41625</v>
      </c>
      <c r="E43" s="20" t="str">
        <f ca="1">IF(Sheet1!$D43&lt;=TODAY(),"COMPLETED","PENDING")</f>
        <v>COMPLETED</v>
      </c>
      <c r="F43" s="21">
        <f>YEAR(Sheet1!$C43)</f>
        <v>2013</v>
      </c>
      <c r="G43" s="19">
        <f>MONTH(Sheet1!$C43)</f>
        <v>12</v>
      </c>
      <c r="H43" s="22">
        <f>WEEKDAY(Sheet1!$C43)</f>
        <v>6</v>
      </c>
    </row>
    <row r="44" spans="1:8" x14ac:dyDescent="0.3">
      <c r="A44" s="13" t="s">
        <v>42</v>
      </c>
      <c r="B44" s="14" t="s">
        <v>81</v>
      </c>
      <c r="C44" s="27">
        <v>41174</v>
      </c>
      <c r="D44" s="27">
        <v>41176</v>
      </c>
      <c r="E44" s="15" t="str">
        <f ca="1">IF(Sheet1!$D44&lt;=TODAY(),"COMPLETED","PENDING")</f>
        <v>COMPLETED</v>
      </c>
      <c r="F44" s="16">
        <f>YEAR(Sheet1!$C44)</f>
        <v>2012</v>
      </c>
      <c r="G44" s="14">
        <f>MONTH(Sheet1!$C44)</f>
        <v>9</v>
      </c>
      <c r="H44" s="17">
        <f>WEEKDAY(Sheet1!$C44)</f>
        <v>7</v>
      </c>
    </row>
    <row r="45" spans="1:8" x14ac:dyDescent="0.3">
      <c r="A45" s="18" t="s">
        <v>43</v>
      </c>
      <c r="B45" s="19"/>
      <c r="C45" s="28">
        <v>41719</v>
      </c>
      <c r="D45" s="28">
        <v>41724</v>
      </c>
      <c r="E45" s="20" t="str">
        <f ca="1">IF(Sheet1!$D45&lt;=TODAY(),"COMPLETED","PENDING")</f>
        <v>COMPLETED</v>
      </c>
      <c r="F45" s="21">
        <f>YEAR(Sheet1!$C45)</f>
        <v>2014</v>
      </c>
      <c r="G45" s="19">
        <f>MONTH(Sheet1!$C45)</f>
        <v>3</v>
      </c>
      <c r="H45" s="22">
        <f>WEEKDAY(Sheet1!$C45)</f>
        <v>6</v>
      </c>
    </row>
    <row r="46" spans="1:8" x14ac:dyDescent="0.3">
      <c r="A46" s="13" t="s">
        <v>44</v>
      </c>
      <c r="B46" s="14" t="s">
        <v>82</v>
      </c>
      <c r="C46" s="27">
        <v>41706</v>
      </c>
      <c r="D46" s="27">
        <v>41854</v>
      </c>
      <c r="E46" s="15" t="str">
        <f ca="1">IF(Sheet1!$D46&lt;=TODAY(),"COMPLETED","PENDING")</f>
        <v>COMPLETED</v>
      </c>
      <c r="F46" s="16">
        <f>YEAR(Sheet1!$C46)</f>
        <v>2014</v>
      </c>
      <c r="G46" s="14">
        <f>MONTH(Sheet1!$C46)</f>
        <v>3</v>
      </c>
      <c r="H46" s="17">
        <f>WEEKDAY(Sheet1!$C46)</f>
        <v>7</v>
      </c>
    </row>
    <row r="47" spans="1:8" x14ac:dyDescent="0.3">
      <c r="A47" s="18" t="s">
        <v>45</v>
      </c>
      <c r="B47" s="19" t="s">
        <v>83</v>
      </c>
      <c r="C47" s="28">
        <v>42244</v>
      </c>
      <c r="D47" s="28">
        <v>42245</v>
      </c>
      <c r="E47" s="20" t="str">
        <f ca="1">IF(Sheet1!$D47&lt;=TODAY(),"COMPLETED","PENDING")</f>
        <v>COMPLETED</v>
      </c>
      <c r="F47" s="21">
        <f>YEAR(Sheet1!$C47)</f>
        <v>2015</v>
      </c>
      <c r="G47" s="19">
        <f>MONTH(Sheet1!$C47)</f>
        <v>8</v>
      </c>
      <c r="H47" s="22">
        <f>WEEKDAY(Sheet1!$C47)</f>
        <v>6</v>
      </c>
    </row>
    <row r="48" spans="1:8" x14ac:dyDescent="0.3">
      <c r="A48" s="13" t="s">
        <v>46</v>
      </c>
      <c r="B48" s="14" t="s">
        <v>84</v>
      </c>
      <c r="C48" s="27">
        <v>42125</v>
      </c>
      <c r="D48" s="27">
        <v>42125</v>
      </c>
      <c r="E48" s="15" t="str">
        <f ca="1">IF(Sheet1!$D48&lt;=TODAY(),"COMPLETED","PENDING")</f>
        <v>COMPLETED</v>
      </c>
      <c r="F48" s="16">
        <f>YEAR(Sheet1!$C48)</f>
        <v>2015</v>
      </c>
      <c r="G48" s="14">
        <f>MONTH(Sheet1!$C48)</f>
        <v>5</v>
      </c>
      <c r="H48" s="17">
        <f>WEEKDAY(Sheet1!$C48)</f>
        <v>6</v>
      </c>
    </row>
    <row r="49" spans="1:8" x14ac:dyDescent="0.3">
      <c r="A49" s="18" t="s">
        <v>47</v>
      </c>
      <c r="B49" s="19" t="s">
        <v>85</v>
      </c>
      <c r="C49" s="28" t="s">
        <v>31</v>
      </c>
      <c r="D49" s="28">
        <v>42358</v>
      </c>
      <c r="E49" s="20" t="str">
        <f ca="1">IF(Sheet1!$D49&lt;=TODAY(),"COMPLETED","PENDING")</f>
        <v>COMPLETED</v>
      </c>
      <c r="F49" s="21" t="s">
        <v>92</v>
      </c>
      <c r="G49" s="19" t="e">
        <f>MONTH(Sheet1!$C49)</f>
        <v>#VALUE!</v>
      </c>
      <c r="H49" s="22" t="e">
        <f>WEEKDAY(Sheet1!$C49)</f>
        <v>#VALUE!</v>
      </c>
    </row>
    <row r="50" spans="1:8" x14ac:dyDescent="0.3">
      <c r="A50" s="23" t="s">
        <v>48</v>
      </c>
      <c r="B50" s="8" t="s">
        <v>71</v>
      </c>
      <c r="C50" s="29">
        <v>41206</v>
      </c>
      <c r="D50" s="29">
        <v>41209</v>
      </c>
      <c r="E50" s="24" t="str">
        <f ca="1">IF(Sheet1!$D50&lt;=TODAY(),"COMPLETED","PENDING")</f>
        <v>COMPLETED</v>
      </c>
      <c r="F50" s="25">
        <f>YEAR(Sheet1!$C50)</f>
        <v>2012</v>
      </c>
      <c r="G50" s="8">
        <f>MONTH(Sheet1!$C50)</f>
        <v>10</v>
      </c>
      <c r="H50" s="2">
        <f>WEEKDAY(Sheet1!$C50)</f>
        <v>4</v>
      </c>
    </row>
    <row r="51" spans="1:8" x14ac:dyDescent="0.3">
      <c r="D51" s="7"/>
      <c r="E51" s="7"/>
      <c r="F51" s="7"/>
      <c r="G5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EBD8-AE4F-4C20-987A-CCE287E3BF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8850A5-493A-494F-8205-C299B7EA87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2025-11-16T10:21:30Z</dcterms:created>
  <dcterms:modified xsi:type="dcterms:W3CDTF">2025-11-16T11:48:35Z</dcterms:modified>
</cp:coreProperties>
</file>